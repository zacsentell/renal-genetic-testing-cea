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zacsentell/work/renal-genetic-testing-cea_v2/data/raw/"/>
    </mc:Choice>
  </mc:AlternateContent>
  <xr:revisionPtr revIDLastSave="0" documentId="13_ncr:1_{FFB433FD-CE9C-7F49-B8D5-4805EE3CC0F6}" xr6:coauthVersionLast="47" xr6:coauthVersionMax="47" xr10:uidLastSave="{00000000-0000-0000-0000-000000000000}"/>
  <bookViews>
    <workbookView xWindow="0" yWindow="600" windowWidth="46080" windowHeight="25320" xr2:uid="{36482912-1EB2-2645-8039-9AB186E00228}"/>
  </bookViews>
  <sheets>
    <sheet name="pubmed_query_results" sheetId="1" r:id="rId1"/>
    <sheet name="Review" sheetId="2" r:id="rId2"/>
    <sheet name="PRISMA_log" sheetId="4" r:id="rId3"/>
    <sheet name="PRISMA2020_inputs" sheetId="5" r:id="rId4"/>
    <sheet name="Notes" sheetId="3" r:id="rId5"/>
  </sheets>
  <definedNames>
    <definedName name="_xlnm._FilterDatabase" localSheetId="2" hidden="1">PRISMA_log!$A$1:$L$1</definedName>
    <definedName name="_xlnm._FilterDatabase" localSheetId="1" hidden="1">Review!$A$1:$N$180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5" l="1"/>
  <c r="B13" i="5"/>
  <c r="B8" i="5"/>
  <c r="B9" i="5" s="1"/>
  <c r="B11" i="5" s="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2" i="4"/>
</calcChain>
</file>

<file path=xl/sharedStrings.xml><?xml version="1.0" encoding="utf-8"?>
<sst xmlns="http://schemas.openxmlformats.org/spreadsheetml/2006/main" count="2122" uniqueCount="743">
  <si>
    <t>PMID</t>
  </si>
  <si>
    <t>Title</t>
  </si>
  <si>
    <t>Authors</t>
  </si>
  <si>
    <t>Journal/Book</t>
  </si>
  <si>
    <t>Publication Year</t>
  </si>
  <si>
    <t>Clinical utility of genetic testing in early-onset kidney disease: seven genes are the main players</t>
  </si>
  <si>
    <t>Domingo-Gallego A, Pybus M, Bullich G, Furlano M, Ejarque-Vila L, Lorente-Grandoso L, Ruiz P, Fraga G, López González M, Piñero-Fernández JA, Rodríguez-Peña L, Llano-Rivas I, Sáez R, Bujons-Tur A, Ariceta G, Guirado L, Torra R, Ars E.</t>
  </si>
  <si>
    <t>Nephrol Dial Transplant</t>
  </si>
  <si>
    <t>Single-cell RNA sequencing for the study of kidney disease</t>
  </si>
  <si>
    <t>Zhu J, Lu J, Weng H.</t>
  </si>
  <si>
    <t>Mol Med</t>
  </si>
  <si>
    <t>Genome-Wide Association Study of CKD Progression</t>
  </si>
  <si>
    <t>Robinson-Cohen C, Triozzi JL, Rowan B, He J, Chen HC, Zheng NS, Wei WQ, Wilson OD, Hellwege JN, Tsao PS, Gaziano JM, Bick A, Matheny ME, Chung CP, Lipworth L, Siew ED, Ikizler TA, Tao R, Hung AM.</t>
  </si>
  <si>
    <t>J Am Soc Nephrol</t>
  </si>
  <si>
    <t>Exome Sequencing of a Clinical Population for Autosomal Dominant Polycystic Kidney Disease</t>
  </si>
  <si>
    <t>Chang AR, Moore BS, Luo JZ, Sartori G, Fang B, Jacobs S, Abdalla Y, Taher M, Carey DJ, Triffo WJ, Singh G, Mirshahi T.</t>
  </si>
  <si>
    <t>JAMA</t>
  </si>
  <si>
    <t>Genetic testing in the diagnosis of chronic kidney disease: recommendations for clinical practice</t>
  </si>
  <si>
    <t>Knoers N, Antignac C, Bergmann C, Dahan K, Giglio S, Heidet L, Lipska-Ziętkiewicz BS, Noris M, Remuzzi G, Vargas-Poussou R, Schaefer F.</t>
  </si>
  <si>
    <t>Genomic diagnostics in polycystic kidney disease: an assessment of real-world use of whole-genome sequencing</t>
  </si>
  <si>
    <t>Mallawaarachchi AC, Lundie B, Hort Y, Schonrock N, Senum SR, Gayevskiy V, Minoche AE, Hollway G, Ohnesorg T, Hinchcliffe M, Patel C, Tchan M, Mallett A, Dinger ME, Rangan G, Cowley MJ, Harris PC, Burnett L, Shine J, Furlong TJ.</t>
  </si>
  <si>
    <t>Eur J Hum Genet</t>
  </si>
  <si>
    <t>Clinical exome sequencing is a powerful tool in the diagnostic flow of monogenic kidney diseases: an Italian experience</t>
  </si>
  <si>
    <t>Vaisitti T, Sorbini M, Callegari M, Kalantari S, Bracciamà V, Arruga F, Vanzino SB, Rendine S, Togliatto G, Giachino D, Pelle A, Cocchi E, Benvenuta C, Baldovino S, Rollino C, Fenoglio R, Sciascia S, Tamagnone M, Vitale C, Calabrese G, Biancone L, Bussolino S, Savoldi S, Borzumati M, Cantaluppi V, Chiappero F, Ungari S, Peruzzi L, Roccatello D, Amoroso A, Deaglio S.</t>
  </si>
  <si>
    <t>J Nephrol</t>
  </si>
  <si>
    <t>The Clinical Utility of Genetic Testing in the Diagnosis and Management of Adults with Chronic Kidney Disease</t>
  </si>
  <si>
    <t>Dahl NK, Bloom MS, Chebib FT, Clark D, Westemeyer M, Jandeska S, Zhang Z, Milo-Rasouly H, Kolupaeva V, Marasa M, Broumand V, Fatica RA, Raj DS, Demko ZP, Marshall K, Punj S, Tabriziani H, Bhorade S, Gharavi AG.</t>
  </si>
  <si>
    <t>Clinical impact of genomic testing in patients with suspected monogenic kidney disease</t>
  </si>
  <si>
    <t>Jayasinghe K, Stark Z, Kerr PG, Gaff C, Martyn M, Whitlam J, Creighton B, Donaldson E, Hunter M, Jarmolowicz A, Johnstone L, Krzesinski E, Lunke S, Lynch E, Nicholls K, Patel C, Prawer Y, Ryan J, See EJ, Talbot A, Trainer A, Tytherleigh R, Valente G, Wallis M, Wardrop L, West KH, White SM, Wilkins E, Mallett AJ, Quinlan C.</t>
  </si>
  <si>
    <t>Genet Med</t>
  </si>
  <si>
    <t>Clinical and genetic spectra of autosomal dominant tubulointerstitial kidney disease due to mutations in UMOD and MUC1</t>
  </si>
  <si>
    <t>Olinger E, Hofmann P, Kidd K, Dufour I, Belge H, Schaeffer C, Kipp A, Bonny O, Deltas C, Demoulin N, Fehr T, Fuster DG, Gale DP, Goffin E, Hodaňová K, Huynh-Do U, Kistler A, Morelle J, Papagregoriou G, Pirson Y, Sandford R, Sayer JA, Torra R, Venzin C, Venzin R, Vogt B, Živná M, Greka A, Dahan K, Rampoldi L, Kmoch S, Bleyer AJ Sr, Devuyst O.</t>
  </si>
  <si>
    <t>Kidney Int</t>
  </si>
  <si>
    <t>Clinical Utility of Genetic Testing in the Precision Diagnosis and Management of Pediatric Patients with Kidney and Urinary Tract Diseases</t>
  </si>
  <si>
    <t>Bekheirnia N, Glinton KE, Rossetti L, Manor J, Chen W, Lamb DJ, Braun MC, Bekheirnia MR.</t>
  </si>
  <si>
    <t>Kidney360</t>
  </si>
  <si>
    <t>Genetic Characterization of Kidney Failure of Unknown Etiology in Spain: Findings From the GENSEN Study</t>
  </si>
  <si>
    <t>Blasco M, Quiroga B, García-Aznar JM, Castro-Alonso C, Fernández-Granados SJ, Luna E, Fernández Fresnedo G, Ossorio M, Izquierdo MJ, Sanchez-Ospina D, Castañeda-Infante L, Mouzo R, Cao M, Besada-Cerecedo ML, Pan-Lizcano R, Torra R, Ortiz A, de Sequera P; GENSEN Study Investigators.</t>
  </si>
  <si>
    <t>Am J Kidney Dis</t>
  </si>
  <si>
    <t>Genome-wide association study of hospitalized patients and acute kidney injury</t>
  </si>
  <si>
    <t>Siew ED, Hellwege JN, Hung AM, Birkelo BC, Vincz AJ, Parr SK, Denton J, Greevy RA, Robinson-Cohen C, Liu H, Susztak K, Matheny ME, Velez Edwards DR.</t>
  </si>
  <si>
    <t>Genomic and epigenomic integrative subtypes of renal cell carcinoma in a Japanese cohort</t>
  </si>
  <si>
    <t>Fukagawa A, Hama N, Totoki Y, Nakamura H, Arai Y, Saito-Adachi M, Maeshima A, Matsui Y, Yachida S, Ushiku T, Shibata T.</t>
  </si>
  <si>
    <t>Nat Commun</t>
  </si>
  <si>
    <t>Genetic Association Analysis of Chronic Kidney Disease Progression in a Small Korean Cohort Study</t>
  </si>
  <si>
    <t>Ghasemi S, Wuttke M.</t>
  </si>
  <si>
    <t>Multi-ancestry genome-wide association study of kidney cancer identifies 63 susceptibility regions</t>
  </si>
  <si>
    <t>Purdue MP, Dutta D, Machiela MJ, Gorman BR, Winter T, Okuhara D, Cleland S, Ferreiro-Iglesias A, Scheet P, Liu A, Wu C, Antwi SO, Larkin J, Zequi SC, Sun M, Hikino K, Hajiran A, Lawson KA, Cárcano F, Blanchet O, Shuch B, Nepple KG, Margue G, Sundi D, Diver WR, Folgueira MAAK, van Bokhoven A, Neffa F, Brown KM, Hofmann JN, Rhee J, Yeager M, Cole NR, Hicks BD, Manning MR, Hutchinson AA, Rothman N, Huang WY, Linehan WM, Lori A, Ferragu M, Zidane-Marinnes M, Serrano SV, Magnabosco WJ; BioBank Japan Project; Vilas A, Decia R, Carusso F, Graham LS, Anderson K, Bilen MA, Arciero C, Pellegrin I, Ricard S; FinnGen; Scelo G, Banks RE, Vasudev NS, Soomro N, Stewart GD, Adeyoju A, Bromage S, Hrouda D, Gibbons N, Patel P, Sullivan M, Protheroe A, Nugent FI, Fournier MJ, Zhang X, Martin LJ, Komisarenko M, Eisen T, Cunningham SA, Connolly DC, Uzzo RG, Zaridze D, Mukeria A, Holcatova I, Hornakova A, Foretova L, Janout V, Mates D, Jinga V, Rascu S, Mijuskovic M, Savic S, Milosavljevic S, Gaborieau V, Abedi-Ardekani B, McKay J, Johansson M, Phouthavongsy L, Hayman L, Li J, Lungu I, Bezerra SM, Souza AG, Sares CTG, Reis RB, et al.</t>
  </si>
  <si>
    <t>Nat Genet</t>
  </si>
  <si>
    <t>Genetic Etiologies, Diagnosis, and Management of Neonatal Cystic Kidney Disease</t>
  </si>
  <si>
    <t>Heidenreich LS, Bendel-Stenzel EM, Harris PC, Hanna C.</t>
  </si>
  <si>
    <t>Neoreviews</t>
  </si>
  <si>
    <t>Genetic testing for kidney disease of unknown etiology</t>
  </si>
  <si>
    <t>Hays T, Groopman EE, Gharavi AG.</t>
  </si>
  <si>
    <t>A Clinical Workflow for Cost-Saving High-Rate Diagnosis of Genetic Kidney Diseases</t>
  </si>
  <si>
    <t>Becherucci F, Landini S, Palazzo V, Cirillo L, Raglianti V, Lugli G, Tiberi L, Dirupo E, Bellelli S, Mazzierli T, Lomi J, Ravaglia F, Sansavini G, Allinovi M, Giannese D, Somma C, Spatoliatore G, Vergani D, Artuso R, Rosati A, Cirami C, Dattolo PC, Campolo G, De Chiara L, Papi L, Vaglio A, Lazzeri E, Anders HJ, Mazzinghi B, Romagnani P.</t>
  </si>
  <si>
    <t>Genetic diagnosis and treatment of hereditary renal tubular disease with hypokalemia and alkalosis</t>
  </si>
  <si>
    <t>Guo W, Ji P, Xie Y.</t>
  </si>
  <si>
    <t>Panel miRNAs are potential diagnostic markers for chronic kidney diseases: a systematic review and meta-analysis</t>
  </si>
  <si>
    <t>Garmaa G, Nagy R, Kói T, To UND, Gergő D, Kleiner D, Csupor D, Hegyi P, Kökény G.</t>
  </si>
  <si>
    <t>BMC Nephrol</t>
  </si>
  <si>
    <t>Clinical and genetic characteristics of Korean autosomal dominant polycystic kidney disease patients</t>
  </si>
  <si>
    <t>Oh YK, Park HC, Ryu H, Kim YC, Oh KH.</t>
  </si>
  <si>
    <t>Korean J Intern Med</t>
  </si>
  <si>
    <t>Clinical and genetic spectra of autosomal dominant tubulointerstitial kidney disease</t>
  </si>
  <si>
    <t>Mabillard H, Sayer JA, Olinger E.</t>
  </si>
  <si>
    <t>Clinical Genetic Screening in Adult Patients with Kidney Disease</t>
  </si>
  <si>
    <t>Cocchi E, Nestor JG, Gharavi AG.</t>
  </si>
  <si>
    <t>Clin J Am Soc Nephrol</t>
  </si>
  <si>
    <t>Genome-wide study investigating effector genes and polygenic prediction for kidney function in persons with ancestry from Africa and the Americas</t>
  </si>
  <si>
    <t>Hughes O, Bentley AR, Breeze CE, Aguet F, Xu X, Nadkarni G, Sun Q, Lin BM, Gilliland T, Meyer MC, Du J, Raffield LM, Kramer H, Morton RW, Gouveia MH, Atkinson EG, Valladares-Salgado A, Wacher-Rodarte N, Dueker ND, Guo X, Hai Y, Adeyemo A, Best LG, Cai J, Chen G, Chong M, Doumatey A, Eales J, Goodarzi MO, Ipp E, Irvin MR, Jiang M, Jones AC, Kooperberg C, Krieger JE, Lange EM, Lanktree MB, Lash JP, Lotufo PA, Loos RJF, Ha My VT, Peralta-Romero J, Qi L, Raffel LJ, Rich SS, Rodriquez EJ, Tarazona-Santos E, Taylor KD, Umans JG, Wen J, Young BA, Yu Z, Zhang Y, Ida Chen YD, Rundek T, Rotter JI, Cruz M, Fornage M, Lima-Costa MF, Pereira AC, Paré G, Natarajan P, Cole SA, Carson AP, Lange LA, Li Y, Perez-Stable EJ, Do R, Charchar FJ, Tomaszewski M, Mychaleckyj JC, Rotimi C, Morris AP, Franceschini N.</t>
  </si>
  <si>
    <t>Cell Genom</t>
  </si>
  <si>
    <t>Identification of Novel Genetic Risk Factors for Focal Segmental Glomerulosclerosis in Children: Results From the Chronic Kidney Disease in Children (CKiD) Cohort</t>
  </si>
  <si>
    <t>Durand A, Winkler CA, Vince N, Douillard V, Geffard E, Binns-Roemer E, Ng DK, Gourraud PA, Reidy K, Warady B, Furth S, Kopp JB, Kaskel FJ, Limou S.</t>
  </si>
  <si>
    <t>Whole-exome sequencing study identifies four novel gene loci associated with diabetic kidney disease</t>
  </si>
  <si>
    <t>Pan Y, Sun X, Mi X, Huang Z, Hsu Y, Hixson JE, Munzy D, Metcalf G, Franceschini N, Tin A, Köttgen A, Francis M; NHLBI Trans-Omics for Precision Medicine (TOPMed) Consortium TOPMed Kidney Function Working Group; Brody JA, Kestenbaum B, Sitlani CM, Mychaleckyj JC, Kramer H, Lange LA, Guo X, Hwang SJ, Irvin MR, Smith JA, Yanek LR, Vaidya D, Chen YI, Fornage M, Lloyd-Jones DM, Hou L, Mathias RA, Mitchell BD, Peyser PA, Kardia SLR, Arnett DK, Correa A, Raffield LM, Vasan RS, Cupple LA, Levy D, Kaplan RC, North KE, Rotter JI, Kooperberg C, Reiner AP, Psaty BM, Tracy RP, Gibbs RA, Morrison AC, Feldman H, Boerwinkle E, He J, Kelly TN; CRIC Study Investigators.</t>
  </si>
  <si>
    <t>Hum Mol Genet</t>
  </si>
  <si>
    <t>ALK-Rearranged Renal Cell Carcinoma: A Multi-Institutional Study of 9 Cases With Expanding the Morphologic and Molecular Genetic Spectrum</t>
  </si>
  <si>
    <t>Zhao M, Yin X, Yang X, Gan H, Chen N, Duan G, Bai Y, Teng X, Xu J, Fang R, Wang S, Zhong S, Wang X, Teng L.</t>
  </si>
  <si>
    <t>Mod Pathol</t>
  </si>
  <si>
    <t>Genetic diagnosis of kidney disease by whole exome sequencing and its clinical application</t>
  </si>
  <si>
    <t>Jung J, Lee JH, Seo GH, Keum C, Kang HG, Cho H, Lee H, Park SK, Baek CH, Han R, Lee ST, Cho MH, Yim HE, Koo JW, Lee BH.</t>
  </si>
  <si>
    <t>Clin Genet</t>
  </si>
  <si>
    <t>First genome-wide association study investigating blood pressure and renal traits in domestic cats</t>
  </si>
  <si>
    <t>Jepson RE, Warren H, Wallace MD, Syme HM, Elliott J, Munroe PB.</t>
  </si>
  <si>
    <t>Sci Rep</t>
  </si>
  <si>
    <t>Clinical Integration of Genome Diagnostics for Congenital Anomalies of the Kidney and Urinary Tract</t>
  </si>
  <si>
    <t>Westland R, Renkema KY, Knoers NVAM.</t>
  </si>
  <si>
    <t>Design and application of single-cell RNA sequencing to study kidney immune cells in lupus nephritis</t>
  </si>
  <si>
    <t>Rao DA, Arazi A, Wofsy D, Diamond B.</t>
  </si>
  <si>
    <t>Nat Rev Nephrol</t>
  </si>
  <si>
    <t>A Genome-Wide Association Study for Hypertensive Kidney Disease in Korean Men</t>
  </si>
  <si>
    <t>Kim HR, Jin HS, Eom YB.</t>
  </si>
  <si>
    <t>Genes (Basel)</t>
  </si>
  <si>
    <t>Genome-Wide Analysis of Kidney Renal Cell Carcinoma: Exploring Differentially Expressed Genes for Diagnostic and Therapeutic Targets</t>
  </si>
  <si>
    <t>Mathur Y, Shafie A, Alharbi B, Ashour AA, Al-Soud WA, Alhassan HH, Alharethi SH, Anjum F.</t>
  </si>
  <si>
    <t>OMICS</t>
  </si>
  <si>
    <t>Genetic, clinical, and pathological study of patients with severe hypertension-associated renal microangiopathy</t>
  </si>
  <si>
    <t>Chen X, Zhang X, Wang Y, Wang S, Zhao M.</t>
  </si>
  <si>
    <t>Association of acute exposure to PM(2.5) constituents and sources with kidney injury: A longitudinal panel study of Nrf2 promoter polymorphism</t>
  </si>
  <si>
    <t>Xu R, Zhang P, Wu T, Liu H, Wang F, Peng J, Lu S, Jiang X, Li Z, Wei Y.</t>
  </si>
  <si>
    <t>J Hazard Mater</t>
  </si>
  <si>
    <t>Functional Natural Killer-cell Genetics and Microvascular Inflammation After Kidney Transplantation: An Observational Cohort Study</t>
  </si>
  <si>
    <t>Diebold M, Vietzen H, Schatzl M, Mayer KA, Haindl S, Heinzel A, Hittmeyer P, Herz CT, Hopfer H, Menter T, Kühner LM, Berger SM, Puchhammer-Stöckl E, Doberer K, Steiger J, Schaub S, Böhmig GA.</t>
  </si>
  <si>
    <t>Transplantation</t>
  </si>
  <si>
    <t>Genomic testing for suspected monogenic kidney disease in children and adults: A health economic evaluation</t>
  </si>
  <si>
    <t>Wu Y, Jayasinghe K, Stark Z, Quinlan C, Patel C, McCarthy H, Mallawaarachchi AC, Kerr PG, Alexander S, Mallett AJ, Goranitis I; KidGen Collaborative investigators.</t>
  </si>
  <si>
    <t>Screening of potential drugs for the treatment of diabetic kidney disease using single-cell transcriptome sequencing and connectivity map data</t>
  </si>
  <si>
    <t>Li Y, Gao S, Guo Z, Chen Z, Wei Y, Li Y, Ba Y, Liu Z, Bao H.</t>
  </si>
  <si>
    <t>Biochem Biophys Res Commun</t>
  </si>
  <si>
    <t>The Diagnostic Yield of Genomic Sequencing-based Genetic Kidney Disease Testing in Kidney Transplant Candidates: Experience at an Urban US Transplant Center</t>
  </si>
  <si>
    <t>Abu Al Rub F, Elsurer Afsar R, Fleetwood VA, Bastani B, Randall H, Nazzal M, Varma C, Afsar B, Jackson H, Yount S, Wooley C, Light J, Davis V, Caliskan Y, Lentine KL.</t>
  </si>
  <si>
    <t>Discovery and fine-mapping of kidney function loci in first genome-wide association study in Africans</t>
  </si>
  <si>
    <t>Fatumo S, Chikowore T, Kalyesubula R, Nsubuga RN, Asiki G, Nashiru O, Seeley J, Crampin AC, Nitsch D, Smeeth L, Kaleebu P, Burgess S, Nyirenda M, Franceschini N, Morris AP, Tomlinson L, Newton R.</t>
  </si>
  <si>
    <t>A Practical Guide to Genetic Testing for Kidney Disorders of Unknown Etiology</t>
  </si>
  <si>
    <t>Aron AW, Dahl NK, Besse W.</t>
  </si>
  <si>
    <t>Exome sequencing as a diagnostic tool in chronic kidney disease: ready for clinical application?</t>
  </si>
  <si>
    <t>Leveson J, Oates TM.</t>
  </si>
  <si>
    <t>Curr Opin Nephrol Hypertens</t>
  </si>
  <si>
    <t>Utility of Banff Human Organ Transplant Gene Panel in Human Kidney Transplant Biopsies</t>
  </si>
  <si>
    <t>Smith RN, Rosales IA, Tomaszewski KT, Mahowald GT, Araujo-Medina M, Acheampong E, Bruce A, Rios A, Otsuka T, Tsuji T, Hotta K, Colvin R.</t>
  </si>
  <si>
    <t>Molecular diagnosis of kidney allograft rejection based on the Banff Human Organ Transplant gene panel: A multicenter international study</t>
  </si>
  <si>
    <t>Zielinski D, Goutaudier V, Sablik M, Divard G, Aubert O, Piedrafita A, Mezine F, Dagobert J, Certain A, Robin B, Gueguen J, Rabant M, Duong van Huyen JP, Sannier A, Randoux-Lebrun C, Maanaoui M, Lionet A, Gibier JB, Gnemmi V, Le Quintrec M, Chauveau B, Vermorel A, Couzi L, Bestard O, Elias M, Louis K, Rosales IA, Smith RN, Kung VL, Anglicheau D, Legendre C, Del Bello A, Huang E, Adam B, Kamar N, Colvin RB, Mengel M, Lefaucheur C, Loupy A.</t>
  </si>
  <si>
    <t>Am J Transplant</t>
  </si>
  <si>
    <t>Utility of Genomic Testing after Renal Biopsy</t>
  </si>
  <si>
    <t>Murray SL, Dorman A, Benson KA, Connaughton DM, Stapleton CP, Fennelly NK, Kennedy C, McDonnell CA, Kidd K, Cormican SM, Ryan LA, Lavin P, Little MA, Bleyer AJ, Doyle B, Cavalleri GL, Hildebrandt F, Conlon PJ.</t>
  </si>
  <si>
    <t>Am J Nephrol</t>
  </si>
  <si>
    <t>A multicenter prospective cohort study evaluating impact of an active delisting strategy to enable kidney transplantation in wait-listed candidates with calculated Panel Reactive Antibody ≥ 99.9</t>
  </si>
  <si>
    <t>Cucchiari D, Mancebo-Sierra E, Caro JL, Meneghini M, Pérez-Saez MJ, López BR, Redondo-Pachón D, Arana C, Bestard O, Andrés A, Moreso F, Crespo M, Palou E, Diekmann F.</t>
  </si>
  <si>
    <t>Clinical and genetic characteristics of autosomal recessive polycystic kidney disease in Oman</t>
  </si>
  <si>
    <t>Al Alawi I, Molinari E, Al Salmi I, Al Rahbi F, Al Mawali A, Sayer JA.</t>
  </si>
  <si>
    <t>Clinical and Genetic Characteristics of CKD Patients with High-Risk APOL1 Genotypes</t>
  </si>
  <si>
    <t>Elliott MD, Marasa M, Cocchi E, Vena N, Zhang JY, Khan A, Krishna Murthy S, Bheda S, Milo Rasouly H, Povysil G, Kiryluk K, Gharavi AG.</t>
  </si>
  <si>
    <t>Urinary phthalate metabolites mixture, serum cytokines and renal function in children: A panel study</t>
  </si>
  <si>
    <t>Liu M, Zhao L, Liu L, Guo W, Yang H, Chen S, Yu J, Li M, Fang Q, Lai X, Yang L, Zhu R, Zhang X.</t>
  </si>
  <si>
    <t>Trans-ethnic genome-wide association study of blood metabolites in the Chronic Renal Insufficiency Cohort (CRIC) study</t>
  </si>
  <si>
    <t>Rhee EP, Surapaneni A, Zheng Z, Zhou L, Dutta D, Arking DE, Zhang J, Duong T, Chatterjee N, Luo S, Schlosser P, Mehta R, Waikar SS, Saraf SL, Kelly TN, Hamm LL, Rao PS, Mathew AV, Hsu CY, Parsa A, Vasan RS, Kimmel PL, Clish CB, Coresh J, Feldman HI, Grams ME; CKD Biomarkers Consortium and the Chronic Renal Insufficiency Cohort (CRIC) Study Investigators.</t>
  </si>
  <si>
    <t>Preimplantation Genetic Testing for Monogenic Kidney Disease</t>
  </si>
  <si>
    <t>Snoek R, Stokman MF, Lichtenbelt KD, van Tilborg TC, Simcox CE, Paulussen ADC, Dreesen JCMF, van Reekum F, Lely AT, Knoers NVAM, de Die-Smulders CEM, van Eerde AM.</t>
  </si>
  <si>
    <t>Metabolite Genome-Wide Association Study for Indoleamine 2,3-Dioxygenase Activity Associated with Chronic Kidney Disease</t>
  </si>
  <si>
    <t>Whole-exome sequencing and variant spectrum in children with suspected inherited renal tubular disorder: the East India Tubulopathy Gene Study</t>
  </si>
  <si>
    <t>Sinha R, Pradhan S, Banerjee S, Jahan A, Akhtar S, Pahari A, Raut S, Parakh P, Basu S, Srivastava P, Nayak S, Thenral SG, Ramprasad V, Ashton E, Bockenhauer D, Mandal K.</t>
  </si>
  <si>
    <t>Pediatr Nephrol</t>
  </si>
  <si>
    <t>Genetic risk assessment for hereditary renal cell carcinoma: Clinical consensus statement</t>
  </si>
  <si>
    <t>Bratslavsky G, Mendhiratta N, Daneshvar M, Brugarolas J, Ball MW, Metwalli A, Nathanson KL, Pierorazio PM, Boris RS, Singer EA, Carlo MI, Daly MB, Henske EP, Hyatt C, Middleton L, Morris G, Jeong A, Narayan V, Rathmell WK, Vaishampayan U, Lee BH, Battle D, Hall MJ, Hafez K, Jewett MAS, Karamboulas C, Pal SK, Hakimi AA, Kutikov A, Iliopoulos O, Linehan WM, Jonasch E, Srinivasan R, Shuch B.</t>
  </si>
  <si>
    <t>Cancer</t>
  </si>
  <si>
    <t>MRI Characteristics of Pediatric Renal Tumors: A SIOP-RTSG Radiology Panel Delphi Study</t>
  </si>
  <si>
    <t>van der Beek JN, Watson TA, Nievelstein RAJ, Brisse HJ, Morosi C, Lederman HM, Coma A, Gavra MM, Vult von Steyern K, Lakatos K, Breysem L, Varga E, Ducou Le Pointe H, Lequin MH, Schäfer JF, Mentzel HJ, Hötker AM, Calareso G, Swinson S, Kyncl M, Granata C, Aertsen M, Di Paolo PL, de Krijger RR, Graf N, Olsen ØE, Schenk JP, van den Heuvel-Eibrink MM, Littooij AS.</t>
  </si>
  <si>
    <t>J Magn Reson Imaging</t>
  </si>
  <si>
    <t>Genome-wide association study of dilated cardiomyopathy-induced heart failure associated with renal insufficiency in a Chinese population</t>
  </si>
  <si>
    <t>Hu Y, Jin L, Wang Z.</t>
  </si>
  <si>
    <t>BMC Cardiovasc Disord</t>
  </si>
  <si>
    <t>Genome-wide association study for time to failure of kidney transplants from African American deceased donors</t>
  </si>
  <si>
    <t>Divers J, Ma L, Brown WM, Palmer ND, Choi Y, Israni AK, Pastan SO, Julian BA, Gaston RS, Hicks PJ, Reeves-Daniel AM, Freedman BI.</t>
  </si>
  <si>
    <t>Clin Transplant</t>
  </si>
  <si>
    <t>Clinical and genetic spectra of kidney disease caused by REN mutations</t>
  </si>
  <si>
    <t>Schaeffer C, Olinger E.</t>
  </si>
  <si>
    <t>Results of targeted next-generation sequencing in children with cystic kidney diseases often change the clinical diagnosis</t>
  </si>
  <si>
    <t>Obeidova L, Seeman T, Fencl F, Blahova K, Hojny J, Elisakova V, Reiterova J, Stekrova J.</t>
  </si>
  <si>
    <t>PLoS One</t>
  </si>
  <si>
    <t>New insights from trio whole-exome sequencing in the children with kidney disease: A single-center retrospective cohort study</t>
  </si>
  <si>
    <t>Chen Y, Zhang Y, Huang J, Zeng Y, Qian Y, Chen J, Chen G, Xia G, Wang C, Feng A, Li Z, Chen L, Zheng S, Li F, Weng Z, Zhang C, Yang Y, Lin J, Wu J, Zhang H, Ouyang W, Nie X.</t>
  </si>
  <si>
    <t>Mol Genet Genomic Med</t>
  </si>
  <si>
    <t>The Effect of DNA Methylation in the Development and Progression of Chronic Kidney Disease in the General Population: An Epigenome-Wide Association Study Using the Korean Genome and Epidemiology Study Database</t>
  </si>
  <si>
    <t>Kim JE, Jo MJ, Cho E, Ahn SY, Kwon YJ, Gim JA, Ko GJ.</t>
  </si>
  <si>
    <t>Prognostic significance of circulating tumor DNA alterations in advanced renal cell carcinoma from SCRUM-Japan MONSTAR-SCREEN: a nationwide genomic profiling project</t>
  </si>
  <si>
    <t>Kato T, Shiota M, Nishimoto K, Matsubara N, Osawa T, Abe T, Yasumizu Y, Tanaka N, Yamamoto Y, Ishizuya Y, Abutani H, Bando H, Fujisawa T, Nakamura Y, Oya M, Shinohara N, Eto M, Yoshino T, Nonomura N.</t>
  </si>
  <si>
    <t>Br J Cancer</t>
  </si>
  <si>
    <t>Parents' experiences with large-scale sequencing for genetic predisposition in pediatric renal cancer: A qualitative study</t>
  </si>
  <si>
    <t>Bon SBB, Wouters RHP, Hol JA, Jongmans MCJ, van den Heuvel-Eibrink MM, Grootenhuis MA.</t>
  </si>
  <si>
    <t>Psychooncology</t>
  </si>
  <si>
    <t>Genome-wide association study of the risk of chronic kidney disease and kidney-related traits in the Japanese population: J-Kidney-Biobank</t>
  </si>
  <si>
    <t>Sugawara Y, Hirakawa Y, Nagasu H, Narita A, Katayama A, Wada J, Shimizu M, Wada T, Kitamura H, Nakano T, Yokoi H, Yanagita M, Goto S, Narita I, Koshiba S, Tamiya G, Nangaku M, Yamamoto M, Kashihara N.</t>
  </si>
  <si>
    <t>J Hum Genet</t>
  </si>
  <si>
    <t>Application of metagenomic next-generation sequencing in the diagnosis and treatment of recurrent urinary tract infection in kidney transplant recipients</t>
  </si>
  <si>
    <t>Duan W, Yang Y, Zhao J, Yan T, Tian X.</t>
  </si>
  <si>
    <t>Front Public Health</t>
  </si>
  <si>
    <t>The utility of a genetic kidney disease clinic employing a broad range of genomic testing platforms: experience of the Irish Kidney Gene Project</t>
  </si>
  <si>
    <t>Elhassan EAE, Murray SL, Connaughton DM, Kennedy C, Cormican S, Cowhig C, Stapleton C, Little MA, Kidd K, Bleyer AJ, Živná M, Kmoch S, Fennelly NK, Doyle B, Dorman A, Griffin MD, Casserly L, Harris PC, Hildebrandt F, Cavalleri GL, Benson KA, Conlon PJ.</t>
  </si>
  <si>
    <t>Diagnostic yield of massively parallel sequencing in patients with chronic kidney disease of unknown etiology: rationale and design of a national prospective cohort study</t>
  </si>
  <si>
    <t>de Haan A, Eijgelsheim M, Vogt L, van der Zwaag B, van Eerde AM, Knoers NVAM, de Borst MH.</t>
  </si>
  <si>
    <t>BMJ Open</t>
  </si>
  <si>
    <t>Genome-wide meta-analysis between renal overload type and renal underexcretion type of clinically defined gout in Japanese populations</t>
  </si>
  <si>
    <t>Toyoda Y, Nakayama A, Nakatochi M, Kawamura Y, Nakaoka H, Yamamoto K, Shimizu S, Ooyama H, Ooyama K, Shimizu T, Nagase M, Hidaka Y, Ichida K, Inoue I, Shinomiya N, Matsuo H; Japan Gout Genomics Consortium (Japan Gout).</t>
  </si>
  <si>
    <t>Mol Genet Metab</t>
  </si>
  <si>
    <t>Genetic study in young patients with chronic kidney disease stage G5 from unknown etiology. The GENSEN study design</t>
  </si>
  <si>
    <t>Blasco M, Quiroga B, García-Aznar JM, Torra R, Ortiz A, de Sequera P; Grupo colaborativo GENSEN.</t>
  </si>
  <si>
    <t>Nefrologia (Engl Ed)</t>
  </si>
  <si>
    <t>Genome-wide association study of serum metabolites in the African American Study of Kidney Disease and Hypertension</t>
  </si>
  <si>
    <t>Luo S, Feofanova EV, Tin A, Tung S, Rhee EP, Coresh J, Arking DE, Surapaneni A, Schlosser P, Li Y, Köttgen A, Yu B, Grams ME.</t>
  </si>
  <si>
    <t>Vitamin C Urinary Loss in Fabry Disease: Clinical and Genomic Characteristics of Vitamin C Renal Leak</t>
  </si>
  <si>
    <t>Ebenuwa I, Violet PC, Padayatty SJ, Wang Y, Tu H, Wilkins KJ, Moore DF, Eck P, Schiffmann R, Levine M.</t>
  </si>
  <si>
    <t>J Nutr</t>
  </si>
  <si>
    <t>A genome-wide association study identifies a possible role for cannabinoid signalling in the pathogenesis of diabetic kidney disease</t>
  </si>
  <si>
    <t>Osman W, Mousa M, Albreiki M, Baalfaqih Z, Daggag H, Hill C, McKnight AJ, Maxwell AP, Al Safar H.</t>
  </si>
  <si>
    <t>Understanding the relationship between circulating lipids and risk of chronic kidney disease: a prospective cohort study and large-scale genetic analyses</t>
  </si>
  <si>
    <t>Wang Y, Zhang L, Zhang W, Tang M, Cui H, Wu X, Zhao X, Chen L, Yan P, Yang C, Xiao C, Zou Y, Liu Y, Zhang L, Yang C, Yao Y, Li J, Liu Z, Jiang X, Zhang B.</t>
  </si>
  <si>
    <t>J Transl Med</t>
  </si>
  <si>
    <t>The genomic landscape of metastatic clear-cell renal cell carcinoma and its prognostic value: a comprehensive analysis of a large real-world clinico-genomic database</t>
  </si>
  <si>
    <t>Rizzo M, Pezzicoli G, Porta C, Povero M, Pradelli L, Sicari E, Barbiero VS, Porta C.</t>
  </si>
  <si>
    <t>ESMO Open</t>
  </si>
  <si>
    <t>Genetic variants of interferon-response factor 5 are associated with the incidence of chronic kidney disease: the D.E.S.I.R. study</t>
  </si>
  <si>
    <t>Fumeron F, Velho G, Alzaid F, El Boustany R, Vandiedonck C, Bonnefond A, Froguel P, Potier L, Marre M, Balkau B, Roussel R, Venteclef N.</t>
  </si>
  <si>
    <t>Genes Immun</t>
  </si>
  <si>
    <t>Genetic impact on the association of sleep patterns and chronic kidney disease: A prospective cohort study of 157,175 UK Biobank participants</t>
  </si>
  <si>
    <t>Li C, Chen Y, Zhao W, Zhang C, Tang L, Ying Z, Chen W, Fu P, Song H, Zhou X, Zeng X.</t>
  </si>
  <si>
    <t>J Psychosom Res</t>
  </si>
  <si>
    <t>Genetic evidence supporting the causal role of gut microbiota in chronic kidney disease and chronic systemic inflammation in CKD: a bilateral two-sample Mendelian randomization study</t>
  </si>
  <si>
    <t>Ren F, Jin Q, Jin Q, Qian Y, Ren X, Liu T, Zhan Y.</t>
  </si>
  <si>
    <t>Front Immunol</t>
  </si>
  <si>
    <t>The diagnostic yield of whole exome sequencing as a first approach in consanguineous Omani renal ciliopathy syndrome patients</t>
  </si>
  <si>
    <t>Al Alawi I, Al Riyami M, Barroso-Gil M, Powell L, Olinger E, Al Salmi I, Sayer JA.</t>
  </si>
  <si>
    <t>F1000Res</t>
  </si>
  <si>
    <t>Identification of genetic variants associated with diabetic kidney disease in multiple Korean cohorts via a genome-wide association study mega-analysis</t>
  </si>
  <si>
    <t>Jin H, Kim YA, Lee Y, Kwon SH, Do AR, Seo S, Won S, Seo JH.</t>
  </si>
  <si>
    <t>BMC Med</t>
  </si>
  <si>
    <t>The utility of urinary biomarker panel in predicting renal pathology and treatment response in Chinese lupus nephritis patients</t>
  </si>
  <si>
    <t>Liu L, Wang R, Ding H, Tian L, Gao T, Bao C.</t>
  </si>
  <si>
    <t>Prospective observational study to validate a next-generation sequencing blood RNA signature to predict early kidney transplant rejection</t>
  </si>
  <si>
    <t>Bestard O, Augustine J, Wee A, Poggio E, Mannon RB, Ansari MJ, Bhati C, Maluf D, Benken S, Leca N, La Manna G, Samaniego-Picota M, Shawar S, Concepcion BP, Rostaing L, Alberici F, O'Connell P, Chang A, Salem F, Kattan MW, Gallon L, Donovan MJ.</t>
  </si>
  <si>
    <t>Cabozantinib-nivolumab sequence in metastatic renal cell carcinoma: The CABIR study</t>
  </si>
  <si>
    <t>Vano YA, Phan L, Gravis G, Korakis I, Schlürmann F, Maillet D, Bennamoun M, Houede N, Topart D, Borchiellini D, Barthelemy P, Ratta R, Ryckewaert T, Hasbini A, Hans S, Emambux S, Cournier S, Braychenko E, Elaidi RT, Oudard S.</t>
  </si>
  <si>
    <t>Int J Cancer</t>
  </si>
  <si>
    <t>Clinical application of a phenotype-based NGS panel for differential diagnosis of inherited kidney disease and beyond</t>
  </si>
  <si>
    <t>Oh J, Shin JI, Lee K, Lee C, Ko Y, Lee JS.</t>
  </si>
  <si>
    <t>Eosinophilic vacuolated tumor (EVT) of kidney demonstrates sporadic TSC/MTOR mutations: next-generation sequencing multi-institutional study of 19 cases</t>
  </si>
  <si>
    <t>Farcaş M, Gatalica Z, Trpkov K, Swensen J, Zhou M, Alaghehbandan R, Williamson SR, Magi-Galluzzi C, Gill AJ, Tretiakova M, Lopez JI, Montiel DP, Sperga M, Comperat E, Brimo F, Yilmaz A, Siadat F, Sangoi A, Gao Y, Ptákova N, Kuthi L, Pivovarcikova K, Rogala J, Agaimy A, Hartmann A, Fraune C, Rychly B, Hurnik P, Durcansky D, Bonert M, Gakis G, Michal M, Hora M, Hes O.</t>
  </si>
  <si>
    <t>Genetic testing in children with nephrolithiasis and nephrocalcinosis</t>
  </si>
  <si>
    <t>Gefen AM, Sethna CB, Cil O, Perwad F, Schoettler M, Michael M, Angelo JR, Safdar A, Amlie-Wolf L, Hunley TE, Ellison JS, Feig D, Zaritsky J.</t>
  </si>
  <si>
    <t>TSC/MTOR -associated Eosinophilic Renal Tumors Exhibit a Heterogeneous Clinicopathologic Spectrum : A Targeted Next-generation Sequencing and Gene Expression Profiling Study</t>
  </si>
  <si>
    <t>Xia QY, Wang XT, Zhao M, He HY, Fang R, Ye SB, Li R, Wang X, Zhang RS, Lu ZF, Ma HH, Wang ZY, Rao Q.</t>
  </si>
  <si>
    <t>Am J Surg Pathol</t>
  </si>
  <si>
    <t>A Custom Target Next-Generation Sequencing 70-Gene Panel and Replication Study to Identify Genetic Markers of Diabetic Kidney Disease</t>
  </si>
  <si>
    <t>Mota-Zamorano S, González LM, Robles NR, Valdivielso JM, Cancho B, López-Gómez J, Gervasini G.</t>
  </si>
  <si>
    <t>Genome-wide screening and cohorts validation identifying novel lncRNAs as prognostic biomarkers for clear cell renal cell carcinoma</t>
  </si>
  <si>
    <t>Zhang C, Huang D, Liu A, Xu Y, Na R, Xu D.</t>
  </si>
  <si>
    <t>J Cell Biochem</t>
  </si>
  <si>
    <t>Clinical and genetic factors are associated with kidney complications in African children with sickle cell anaemia</t>
  </si>
  <si>
    <t>Adebayo OC, Betukumesu DK, Nkoy AB, Adesoji OM, Ekulu PM, Van den Heuvel LP, Levtchenko EN, Labarque V.</t>
  </si>
  <si>
    <t>Br J Haematol</t>
  </si>
  <si>
    <t>Multi-sequence MRI-based radiomics model to preoperatively predict the WHO/ISUP grade of clear Cell Renal Cell Carcinoma: a two-center study</t>
  </si>
  <si>
    <t>Chen R, Su Q, Li Y, Shen P, Zhang J, Tan Y.</t>
  </si>
  <si>
    <t>BMC Cancer</t>
  </si>
  <si>
    <t>Wilms tumour surveillance in at-risk children: Literature review and recommendations from the SIOP-Europe Host Genome Working Group and SIOP Renal Tumour Study Group</t>
  </si>
  <si>
    <t>Hol JA, Jewell R, Chowdhury T, Duncan C, Nakata K, Oue T, Gauthier-Villars M, Littooij AS, Kaneko Y, Graf N, Bourdeaut F, van den Heuvel-Eibrink MM, Pritchard-Jones K, Maher ER, Kratz CP, Jongmans MCJ.</t>
  </si>
  <si>
    <t>Eur J Cancer</t>
  </si>
  <si>
    <t>Hypertensive Diseases in Pregnancy and Kidney Function Later in Life: The Genetic Epidemiology Network of Arteriopathy (GENOA) Study</t>
  </si>
  <si>
    <t>Oshunbade AA, Lirette ST, Windham BG, Shafi T, Hamid A, Gbadamosi SO, Tin A, Yimer WK, Tibuakuu M, Clark D 3rd, Kamimura D, Lutz EA, Mentz RJ, Fox ER, Butler J, Butler KR, Garovic VD, Turner ST, Mosley TH Jr, Hall ME.</t>
  </si>
  <si>
    <t>Mayo Clin Proc</t>
  </si>
  <si>
    <t>Integrative genomic study of Chinese clear cell renal cell carcinoma reveals features associated with thrombus</t>
  </si>
  <si>
    <t>Wang XM, Lu Y, Song YM, Dong J, Li RY, Wang GL, Wang X, Zhang SD, Dong ZH, Lu M, Wang SY, Ge LY, Luo GD, Ma RZ, George Rozen S, Bai F, Wu D, Ma LL.</t>
  </si>
  <si>
    <t>Multicenter study on the genetics of glomerular diseases among southeast and south Asians: Deciphering Diversities - Renal Asian Genetics Network (DRAGoN)</t>
  </si>
  <si>
    <t>Lu L, Yap YC, Nguyen DQ, Chan YH, Ng JL, Zhang YC, Chan CY, Than M, Liu ID, Asim S, Moorani K, Naeem B, Ijaz I, Nguyen TMT, Lee ML, Eng C, Huque SS, Ng YH, Ganesan I, Chao SM, Chong SL, Tan PH, Loh A, Davila S, Kumar V, Ling JZ, Moorakonda RB, Tan KM, Ng AY, Poon KS, Schaefer F, Lipska-Zietkiewicz B, Yap HK, Ng KH; Deciphering Diversities: Renal Asian Genetics Network (DRAGoN).</t>
  </si>
  <si>
    <t>Agreement of somatic and renal near-infrared spectroscopy with reference blood samples during a controlled hypoxia sequence: a healthy volunteer study</t>
  </si>
  <si>
    <t>De Keijzer IN, Massari D, Niezen CK, Bokkers RPH, Vos JJ, Scheeren TWL.</t>
  </si>
  <si>
    <t>J Clin Monit Comput</t>
  </si>
  <si>
    <t>Matching clinical and genetic diagnoses in autosomal dominant polycystic kidney disease reveals novel phenocopies and potential candidate genes</t>
  </si>
  <si>
    <t>Schönauer R, Baatz S, Nemitz-Kliemchen M, Frank V, Petzold F, Sewerin S, Popp B, Münch J, Neuber S, Bergmann C, Halbritter J.</t>
  </si>
  <si>
    <t>Clinical versus research genomics in kidney disease</t>
  </si>
  <si>
    <t>Mallett AJ, Knoers N, Sayer J, Stark Z.</t>
  </si>
  <si>
    <t>Novel genetic markers for chronic kidney disease in a geographically isolated population of Indigenous Australians: Individual and multiple phenotype genome-wide association study</t>
  </si>
  <si>
    <t>Arunachalam V, Lea R, Hoy W, Lee S, Mott S, Savige J, Mathews JD, McMorran BJ, Nagaraj SH.</t>
  </si>
  <si>
    <t>Genome Med</t>
  </si>
  <si>
    <t>Diagnostic utility of one-stop fusion gene panel to detect TFE3/TFEB gene rearrangement and amplification in renal cell carcinomas</t>
  </si>
  <si>
    <t>Harada S, Caliò A, Janowski KM, Morlote D, Rodriguez Pena MD, Canete-Portillo S, Harbi D, DeFrank G, Magi-Galluzzi C, Netto GJ, Martignoni G, Mackinnon AC.</t>
  </si>
  <si>
    <t>Genetic Analysis in Kidney Disease: Advancing Clinical Diagnosis and Research Discovery</t>
  </si>
  <si>
    <t>Besse W.</t>
  </si>
  <si>
    <t>Molecular genetic diagnosis of kidney ciliopathies: Lessons from interpreting genomic sequencing data and the requirement for accurate phenotypic data</t>
  </si>
  <si>
    <t>Orr S, Olinger E, Iosifidou S, Barroso-Gil M, Neatu R, Wood K, Wilson I; Genomics England Research Consortium; Sayer JA.</t>
  </si>
  <si>
    <t>Ann Hum Genet</t>
  </si>
  <si>
    <t>Clinical characteristics and genetic profile of children with WDR72-associated distal renal tubular acidosis: a nationwide experience</t>
  </si>
  <si>
    <t>Deepthi B, Krishnasamy S, Krishnamurthy S, Khandelwal P, Sinha A, Hari P, Jaikumar R, Agrawal P, Saha A, Deepthi RV, Agarwal I, Sinha R, Venkatachari M, Shah MA, Bhatt GC, Krishnan B, Vasudevan A, Bagga A, Krishnamurthy S.</t>
  </si>
  <si>
    <t>Association of Blood Pressure Genetic Risk Score with Cardiovascular Disease and CKD Progression: Findings from the CRIC Study</t>
  </si>
  <si>
    <t>Nierenberg JL, Anderson AH, He J, Parsa A, Srivastava A, Cohen JB, Saraf SL, Rahman M, Rosas SE, Kelly TN; CRIC Study Investigators.</t>
  </si>
  <si>
    <t>Genomics in the kidney transplant clinic: the future standard of care?</t>
  </si>
  <si>
    <t>Cornec-Le Gall E, Mallett AJ.</t>
  </si>
  <si>
    <t>Effects of Testing and Disclosing Ancestry-Specific Genetic Risk for Kidney Failure on Patients and Health Care Professionals: A Randomized Clinical Trial</t>
  </si>
  <si>
    <t>Nadkarni GN, Fei K, Ramos MA, Hauser D, Bagiella E, Ellis SB, Sanderson S, Scott SA, Sabin T, Madden E, Cooper R, Pollak M, Calman N, Bottinger EP, Horowitz CR.</t>
  </si>
  <si>
    <t>JAMA Netw Open</t>
  </si>
  <si>
    <t>Contribution of Genomic Imbalance in Prenatal Congenital Anomalies of the Kidney and Urinary Tract: A Multi-Center Cohort Study</t>
  </si>
  <si>
    <t>Li K, Wang H, Chau MHK, Dong Z, Cao Y, Zheng Y, Leung TY, Choy KW, Zhu Y.</t>
  </si>
  <si>
    <t>Prenat Diagn</t>
  </si>
  <si>
    <t>Pilot Study of Return of Genetic Results to Patients in Adult Nephrology</t>
  </si>
  <si>
    <t>Nestor JG, Marasa M, Milo-Rasouly H, Groopman EE, Husain SA, Mohan S, Fernandez H, Aggarwal VS, Ahram DF, Vena N, Bogyo K, Bomback AS, Radhakrishnan J, Appel GB, Ahn W, Cohen DJ, Canetta PA, Dube GK, Rao MK, Morris HK, Crew RJ, Sanna-Cherchi S, Kiryluk K, Gharavi AG.</t>
  </si>
  <si>
    <t>Molecular diagnostic in fetuses with isolated congenital anomalies of the kidney and urinary tract by whole-exome sequencing</t>
  </si>
  <si>
    <t>Zhou X, Wang Y, Shao B, Wang C, Hu P, Qiao F, Xu Z.</t>
  </si>
  <si>
    <t>J Clin Lab Anal</t>
  </si>
  <si>
    <t>Clinical Implementation of Nephrologist-Led Genomic Testing for Glomerular Diseases in Singapore: Rationale and Protocol</t>
  </si>
  <si>
    <t>Lim C, Lim RS, Choo J, Leow EH, Chan GC, Zhang Y, Ng JL, Chin HL, Tan ES, Goh J, Gandhi N, Ng YH, Than M, Ganesan I, Chong SL, Yap C, Chao SM, Cham B, Kam S, Lim JY, Mok I, Tan HZ, Kwek JL, Lee TL, Wang Z, Goh SM, Lim R, Yeo SC, Teo BW, Da Y, Matchar D, Ng KH.</t>
  </si>
  <si>
    <t>Discovery of genomic and transcriptomic pleiotropy between kidney function and soluble receptor for advanced glycation end products using correlated meta-analyses: The Long Life Family Study</t>
  </si>
  <si>
    <t>Feitosa MF, Lin SJ, Acharya S, Thyagarajan B, Wojczynski MK, Kuipers AL, Kulminski A, Christensen K, Zmuda JM, Brent MR, Province MA.</t>
  </si>
  <si>
    <t>Aging Cell</t>
  </si>
  <si>
    <t>Genetic identification of inherited cystic kidney diseases for implementing precision medicine: a study protocol for a 3-year prospective multicenter cohort study</t>
  </si>
  <si>
    <t>Park HC, Ryu H, Kim YC, Ahn C, Lee KB, Kim YH, Kim Y, Han S, Kim Y, Bae EH, Ma SK, Kang HG, Ahn YH, Park E, Jeong K, Lee J, Choi J, Oh KH, Oh YK.</t>
  </si>
  <si>
    <t>Genomic ancestry in kidney cancer: Correlations with clinical and molecular features</t>
  </si>
  <si>
    <t>Kotecha RR, Knezevic A, Arora K, Bandlamudi C, Kuo F, Carlo MI, Fitzgerald KN, Feldman DR, Shah NJ, Reznik E, Hakimi AA, Carrot-Zhang J, Mandelker D, Berger M, Lee CH, Motzer RJ, Voss MH.</t>
  </si>
  <si>
    <t>Observational or Genetically Predicted Higher Vegetable Intake and Kidney Function Impairment: An Integrated Population-Scale Cross-Sectional Analysis and Mendelian Randomization Study</t>
  </si>
  <si>
    <t>Park S, Lee S, Kim Y, Lee Y, Kang MW, Kim K, Kim YC, Han SS, Lee H, Lee JP, Joo KW, Lim CS, Kim YS, Kim DK.</t>
  </si>
  <si>
    <t>Clinical and genetic markers of erythropoietin deficiency anemia in chronic kidney disease (predialysis) patients</t>
  </si>
  <si>
    <t>Yugavathy N, Huri HZ, Kun LS, Bin Abdul Gafor AH, Geot WM, Bavanandan S, Seng WH.</t>
  </si>
  <si>
    <t>Biomark Med</t>
  </si>
  <si>
    <t>Higher genetically predicted low-density lipoprotein levels increase the renal cancer risk independent of triglycerides and high-density lipoprotein levels: A Mendelian randomization study</t>
  </si>
  <si>
    <t>Ma Y, Jian Z, Xiang L, Jin X.</t>
  </si>
  <si>
    <t>Introducing Exome Sequencing as Part of the Diagnostic Algorithm for Pediatric Nephrology Patients in Bulgaria: A Single-Center Experience</t>
  </si>
  <si>
    <t>Beltcheva O, Kamenarova K, Zlatanova G, Mihova K, Roussinov D, Kachakova D, Georgiev M, Nikolova E, Gaydarova M, Mitev V, Kaneva R.</t>
  </si>
  <si>
    <t>Nephron</t>
  </si>
  <si>
    <t>Identification of interactions between genetic risk scores and dietary patterns for personalized prevention of kidney dysfunction in a population-based cohort</t>
  </si>
  <si>
    <t>Jang MJ, Tan LJ, Park MY, Shin S, Kim JM.</t>
  </si>
  <si>
    <t>Nutr Diabetes</t>
  </si>
  <si>
    <t>Metagenomic next-generation sequencing confirms the diagnosis of Legionella pneumonia with rhabdomyolysis and acute kidney injury in a limited resource area: a case report and review</t>
  </si>
  <si>
    <t>Du R, Feng Y, Wang Y, Huang J, Tao Y, Mao H.</t>
  </si>
  <si>
    <t>Identification of a four-microRNA panel in serum for screening renal cell carcinoma</t>
  </si>
  <si>
    <t>Chen X, Li R, Li X, Peng X, Zhang C, Liu K, Huang G, Lai Y.</t>
  </si>
  <si>
    <t>Pathol Res Pract</t>
  </si>
  <si>
    <t>A Novel, Simple, and Low-Cost Approach for Machine Learning Screening of Kidney Cancer: An Eight-Indicator Blood Test Panel with Predictive Value for Early Diagnosis</t>
  </si>
  <si>
    <t>Li H, Wang F, Huang W.</t>
  </si>
  <si>
    <t>Curr Oncol</t>
  </si>
  <si>
    <t>Diagnostic Yield and Clinical Impact of a Small Genetic Panel for Kidney Disease: A Multicenter, Retrospective European Study</t>
  </si>
  <si>
    <t>Giovanella S, Poyatos-Andújar AM, Garcia MMA, Avila-Fernandez A, Bustamante-Aragonés A, Ayuso C, Percesepe A, Martorana D, Ferri M, Terracciano A, Massella L, Chester J, Testa F, Ligabue G, Ferrarini M, Gibertoni D, Alfano G, Tenedini E, Artuso L, Marino M, Calabrese O, Tagliafico E, Magistroni R.</t>
  </si>
  <si>
    <t>Improve in-depth immunological risk assessment to optimize genetic-compatibility and clinical outcomes in child and adolescent recipients of parental donor kidney transplants: protocol for the INCEPTION study</t>
  </si>
  <si>
    <t>Lim WH, Adams B, Alexander S, Bouts AHM, Claas F, Collins M, Cornelissen E, Dunckley H, de Jong H, D'Orsogna L, Francis A, Heidt S, Herman J, Holdsworth R, Kausman J, Khalid R, Kim JJ, Kim S, Knops N, Kosmoliaptsis V, Kramer C, Kuypers D, Larkins N, Palmer SC, Prestidge C, Prytula A, Sharma A, Shingde M, Taverniti A, Teixeira-Pinto A, Trnka P, Willis F, Wong D, Wong G.</t>
  </si>
  <si>
    <t>Distinct genetic risk loci between biopsy-proven renal and non-renal lupus: a 10-year longitudinal cohort</t>
  </si>
  <si>
    <t>Chan SCW, Lei Y, Yap DYH, Lee PPW, Lai WM, Ying SKY, Leung AMH, Mok CC, Lee KL, Lau CS, Yang W, Li PH.</t>
  </si>
  <si>
    <t>Rheumatology (Oxford)</t>
  </si>
  <si>
    <t>Molecular Diagnosis and Identification of Genetic Variants Underlying Distal Renal Tubular Acidosis in Pakistani Patients Using Whole Exome Sequencing</t>
  </si>
  <si>
    <t>Khan N, Akhtar N, Khan FF, Hussain S, Naeem M.</t>
  </si>
  <si>
    <t>Genet Test Mol Biomarkers</t>
  </si>
  <si>
    <t>Diagnostic utility of genetic testing in patients undergoing renal biopsy</t>
  </si>
  <si>
    <t>Benson KA, Murray SL, Doyle R, Doyle B, Dorman AM, Sadlier D, Brennan E, Large M, Cavalleri GL, Godson C, Conlon PJ.</t>
  </si>
  <si>
    <t>Cold Spring Harb Mol Case Stud</t>
  </si>
  <si>
    <t>Validation of a next-generation sequencing (NGS) panel to improve the diagnosis of X-linked hypophosphataemia (XLH) and other genetic disorders of renal phosphate wasting</t>
  </si>
  <si>
    <t>Thiele S, Werner R, Stubbe A, Hiort O, Hoeppner W.</t>
  </si>
  <si>
    <t>Eur J Endocrinol</t>
  </si>
  <si>
    <t>Contribution of Genetic Background and Data Collection on Adverse Events of Anti-human Immunodeficiency Virus (HIV) Drugs (D:A:D) Clinical Risk Score to Chronic Kidney Disease in Swiss HIV-infected Persons With Normal Baseline Estimated Glomerular Filtration Rate</t>
  </si>
  <si>
    <t>Dietrich LG, Barceló C, Thorball CW, Ryom L, Burkhalter F, Hasse B, Furrer H, Weisser M, Steffen A, Bernasconi E, Cavassini M, de Seigneux S, Csajka C, Fellay J, Ledergerber B, Tarr PE.</t>
  </si>
  <si>
    <t>Clin Infect Dis</t>
  </si>
  <si>
    <t>Clinical phenotype and genetic function analysis of a rare family with hereditary leiomyomatosis and renal cell carcinoma complicated with Birt-Hogg-Dubé syndrome</t>
  </si>
  <si>
    <t>Pan HH, Ruan DD, Wu M, Chen T, Lu T, Gan YM, Wang C, Liao LS, Lin XF, Chen X, Zhu YB, Fang ZT, Yu QH, Yang GK, Ye LF, Luo JW.</t>
  </si>
  <si>
    <t>J Med Genet</t>
  </si>
  <si>
    <t>Genetic and clinical determinants of mizoribine pharmacokinetics in renal transplant recipients</t>
  </si>
  <si>
    <t>Dai R, Li J, Wu J, Fu Q, Yan J, Zhong G, Wang C, Chen X, Chen P.</t>
  </si>
  <si>
    <t>Eur J Clin Pharmacol</t>
  </si>
  <si>
    <t>Diagnostic magnetic resonance imaging characteristics of congenital mesoblastic nephroma: a retrospective multi-center International Society of Pediatric Oncology-Renal Tumor Study Group (SIOP-RTSG) radiology panel study</t>
  </si>
  <si>
    <t>van der Beek JN, Schenk JP, Morosi C, Watson TA, Coma A, Graf N, Chowdhury T, Ramírez-Villar GL, Spreafico F, Welter N, Dzhuma K, van Tinteren H, de Krijger RR, van den Heuvel-Eibrink MM, Littooij AS.</t>
  </si>
  <si>
    <t>Pediatr Radiol</t>
  </si>
  <si>
    <t>Genome-Wide Association of Kidney Traits in Hispanics/Latinos Using Dense Imputed Whole-Genome Sequencing Data: The Hispanic Community Health Study/Study of Latinos</t>
  </si>
  <si>
    <t>Qian H, Kowalski MH, Kramer HJ, Tao R, Lash JP, Stilp AM, Cai J, Li Y, Franceschini N.</t>
  </si>
  <si>
    <t>Circ Genom Precis Med</t>
  </si>
  <si>
    <t>Autosomal dominant tubulointerstitial kidney disease: a new tool to guide genetic testing</t>
  </si>
  <si>
    <t>LaFavers KA, El-Achkar TM.</t>
  </si>
  <si>
    <t>Real-world Treatment Sequencing and Outcomes With Cabozantinib After First-line Immune Checkpoint Inhibitor-based Combination Therapy For Patients With Advanced Renal Cell Carcinoma: CARINA Study Results</t>
  </si>
  <si>
    <t>Nathan P, Venugopal B, Ali J, Allison J, Ceruso M, Charnley N, Griffiths R, Michael A, Moore K, Perrot V, Prendergast Á, Sharma A, Szabados B, Larkin J.</t>
  </si>
  <si>
    <t>Clin Genitourin Cancer</t>
  </si>
  <si>
    <t>Integrating APOL1 Kidney-risk Variant Testing in Live Kidney Donor Evaluation: An Expert Panel Opinion</t>
  </si>
  <si>
    <t>Doshi MD, Gordon EJ, Freedman BI, Glover C, Locke JE, Thomas CP.</t>
  </si>
  <si>
    <t>A genome-wide association study suggests correlations of common genetic variants with peritoneal solute transfer rates in patients with kidney failure receiving peritoneal dialysis</t>
  </si>
  <si>
    <t>Mehrotra R, Stanaway IB, Jarvik GP, Lambie M, Morelle J, Perl J, Himmelfarb J, Heimburger O, Johnson DW, Imam TH, Robinson B, Stenvinkel P, Devuyst O, Davies SJ; Bio-PD Consortium.</t>
  </si>
  <si>
    <t>The fertility willingness and acceptability of preimplantation genetic testing in Chinese patients with autosomal dominant polycystic kidney disease</t>
  </si>
  <si>
    <t>Sun M, Xue C, Lu Y, Ma Y, Pan T, Wang X, Fan L, Shen J, Hao Y, Zheng D, Li J, Li M, He Y, Mei C.</t>
  </si>
  <si>
    <t>The role of genetic testing in the diagnostic workflow of pediatric patients with kidney diseases: the experience of a single institution</t>
  </si>
  <si>
    <t>Vaisitti T, Bracciamà V, Faini AC, Brach Del Prever GM, Callegari M, Kalantari S, Mioli F, Romeo CM, Luca M, Camilla R, Mattozzi F, Gianoglio B, Peruzzi L, Amoroso A, Deaglio S.</t>
  </si>
  <si>
    <t>Hum Genomics</t>
  </si>
  <si>
    <t>Identification of co-expression hub genes for ferroptosis in kidney renal clear cell carcinoma based on weighted gene co-expression network analysis and The Cancer Genome Atlas clinical data</t>
  </si>
  <si>
    <t>Li S, Xu X, Zhang R, Huang Y.</t>
  </si>
  <si>
    <t>A candidate panel of eight urinary proteins shows potential of early diagnosis and risk assessment for diabetic kidney disease in type 1 diabetes</t>
  </si>
  <si>
    <t>Altman J, Bai S, Purohit S, White J, Steed D, Liu S, Hopkins D, She JX, Sharma A, Zhi W.</t>
  </si>
  <si>
    <t>J Proteomics</t>
  </si>
  <si>
    <t>Clinical features, genetic background, and outcome in infants with urinary tract infection and type IV renal tubular acidosis</t>
  </si>
  <si>
    <t>Tseng MH, Huang JL, Huang SM, Tsai JD, Wu TW, Fan WL, Ding JJ, Lin SH.</t>
  </si>
  <si>
    <t>Pediatr Res</t>
  </si>
  <si>
    <t>Functional and genomic characterization of patient-derived xenograft model to study the adaptation to mTORC1 inhibitor in clear cell renal cell carcinoma</t>
  </si>
  <si>
    <t>Sakamoto H, Yamasaki T, Sumiyoshi T, Takeda M, Shibasaki N, Utsunomiya N, Arakaki R, Akamatsu S, Kobayashi T, Inoue T, Kamba T, Nakamura E, Ogawa O.</t>
  </si>
  <si>
    <t>Cancer Med</t>
  </si>
  <si>
    <t>Clinical and economic outcomes of treatment sequences for intermediate- to poor-risk advanced renal cell carcinoma</t>
  </si>
  <si>
    <t>Ambavane A, Yang S, Atkins MB, Rao S, Shah A, Regan MM, McDermott DF, Michaelson MD.</t>
  </si>
  <si>
    <t>Immunotherapy</t>
  </si>
  <si>
    <t>Correlates of clinical benefit from immunotherapy and targeted therapy in metastatic renal cell carcinoma: comprehensive genomic and transcriptomic analysis</t>
  </si>
  <si>
    <t>Dizman N, Lyou Y, Salgia N, Bergerot PG, Hsu J, Enriquez D, Izatt T, Trent JM, Byron S, Pal S.</t>
  </si>
  <si>
    <t>J Immunother Cancer</t>
  </si>
  <si>
    <t>Genetic polymorphisms and clinical parameters associated with renal toxicity in Thai hematologic malignancy patients receiving high dose methotrexate</t>
  </si>
  <si>
    <t>Pitakkitnukun P, Pongpitakmetha T, Suttichet TB, Sukkummee W, Chariyavilaskul P, Polprasert C.</t>
  </si>
  <si>
    <t>Profiling of Serum miRNAs Constructs a Diagnostic 3-miRNA Panel for Clear-Cell Renal Cell Carcinoma</t>
  </si>
  <si>
    <t>Li X, Wen Z, Li R, Lu C, Chen W, Chen X, Huang G, Ni L, Lai Y, Tao L.</t>
  </si>
  <si>
    <t>A new thinking: extended application of genomic selection to screen multiomics data for development of novel hypoxia-immune biomarkers and target therapy of clear cell renal cell carcinoma</t>
  </si>
  <si>
    <t>Gui CP, Wei JH, Chen YH, Fu LM, Tang YM, Cao JZ, Chen W, Luo JH.</t>
  </si>
  <si>
    <t>Brief Bioinform</t>
  </si>
  <si>
    <t>Technical considerations when designing a gene expression panel for renal transplant diagnosis</t>
  </si>
  <si>
    <t>Toulza F, Dominy K, Cook T, Galliford J, Beadle J, McLean A, Roufosse C.</t>
  </si>
  <si>
    <t>No association of genetic variants in TLR4, TNF-α, IL10, IFN-γ, and IL37 in cytomegalovirus-positive renal allograft recipients with active CMV infection-Subanalysis of the prospective randomised VIPP study</t>
  </si>
  <si>
    <t>Mazzola P, Schaeffeler E, Witzke O, Nitschke M, Kliem V, Zortel M, Wagner EM, Schwab M, Hauser IA.</t>
  </si>
  <si>
    <t>A woman with a dual genetic diagnosis of autosomal dominant tubulointerstitial kidney disease and KBG syndrome</t>
  </si>
  <si>
    <t>Tanaka Y, Morisada N, Suzuki T, Ohashi Y, Ye MJ, Nozu K, Tsuruta S, Iijima K.</t>
  </si>
  <si>
    <t>CEN Case Rep</t>
  </si>
  <si>
    <t>Sporadic oncocytic tumors with features intermediate between oncocytoma and chromophobe renal cell carcinoma: comprehensive clinicopathological and genomic profiling</t>
  </si>
  <si>
    <t>Liu YJ, Ussakli C, Antic T, Liu Y, Wu Y, True L, Tretiakova MS.</t>
  </si>
  <si>
    <t>Hum Pathol</t>
  </si>
  <si>
    <t>Genomewide association study identifies a novel variant associated with tacrolimus trough concentration in Chinese renal transplant recipients</t>
  </si>
  <si>
    <t>Yang S, Jiang H, Li C, Lu H, Li C, Ye D, Qi H, Xu W, Bao X, Maseko N, Zhang S, Shao R, Li L.</t>
  </si>
  <si>
    <t>Clin Transl Sci</t>
  </si>
  <si>
    <t>Association of single nucleotide genetic polymorphisms of vitamin D receptor and calcium-sensitive receptor with calcium-containing kidney stones in Chinese Dai populations: a prospective multi-center study</t>
  </si>
  <si>
    <t>Li J, Ke K, Zhang B, Liu Y, Bai J, Wang M, Li H.</t>
  </si>
  <si>
    <t>Int Urol Nephrol</t>
  </si>
  <si>
    <t>RBM10-TFE3 fusions: A FISH-concealed anomaly in adult renal cell carcinomas displaying a variety of morphological and genomic features: Comprehensive study of six novel cases</t>
  </si>
  <si>
    <t>Di Mauro I, Dadone-Montaudie B, Sibony M, Ambrosetti D, Molinie V, Decaussin-Petrucci M, Bland V, Arbaud C, Cenciu B, Arbib F, Just PA, Derman J, Rioux-Leclercq N, Pedeutour F; CARARE French Network.</t>
  </si>
  <si>
    <t>Genes Chromosomes Cancer</t>
  </si>
  <si>
    <t>Germline Variants Identified in Patients with Early-onset Renal Cell Carcinoma Referred for Germline Genetic Testing</t>
  </si>
  <si>
    <t>Truong H, Sheikh R, Kotecha R, Kemel Y, Reisz PA, Lenis AT, Mehta NN, Khurram A, Joseph V, Mandelker D, Latham A, Ceyhan-Birsoy O, Ladanyi M, Shah NJ, Walsh MF, Voss MH, Lee CH, Russo P, Coleman JA, Hakimi AA, Feldman DR, Stadler ZK, Robson ME, Motzer RJ, Offit K, Patil S, Carlo MI.</t>
  </si>
  <si>
    <t>Eur Urol Oncol</t>
  </si>
  <si>
    <t>A Noninvasive Urine Metabolome Panel as Potential Biomarkers for Diagnosis of T Cell-Mediated Renal Transplant Rejection</t>
  </si>
  <si>
    <t>Kalantari S, Chashmniam S, Nafar M, Samavat S, Rezaie D, Dalili N.</t>
  </si>
  <si>
    <t>Clinical, immune and genetic risk factors of malaria-associated acute kidney injury in Zambian children: A study protocol</t>
  </si>
  <si>
    <t>Mwaba C, Munsaka S, Mwakazanga D, Rutagwerae D, Ngalamika O, Mwanza S, McCulloch M, Mpabalwani E.</t>
  </si>
  <si>
    <t>Performance of the ACMG-AMP criteria in a large familial renal glucosuria cohort with identified SLC5A2 sequence variants</t>
  </si>
  <si>
    <t>Barata R, Fila M, Dalla-Vale F, Bogarin R, Nunes P, Ramalho J, Rueff J, Calado J.</t>
  </si>
  <si>
    <t>Clinicopathologic and Molecular Analysis of the TFEB Fusion Variant Reveals New Members of TFEB Translocation Renal Cell Carcinomas (RCCs): Expanding the Genomic Spectrum</t>
  </si>
  <si>
    <t>Xia QY, Wang XT, Fang R, Wang Z, Zhao M, Chen H, Chen N, Teng XD, Wang X, Wei X, Ye SB, Li R, Ma HH, Lu ZF, Zhou XJ, Rao Q.</t>
  </si>
  <si>
    <t>Clinical Integration of Genomic Testing in Kidney Transplantation Clinics</t>
  </si>
  <si>
    <t>Nestor JG.</t>
  </si>
  <si>
    <t>Clinical variable-based cluster analysis identifies novel subgroups with a distinct genetic signature, lipidomic pattern and cardio-renal risks in Asian patients with recent-onset type 2 diabetes</t>
  </si>
  <si>
    <t>Wang J, Liu JJ, Gurung RL, Liu S, Lee J, M Y, Ang K, Shao YM, Tang JI, Benke PI, Torta F, Wenk MR, Tavintharan S, Tang WE, Sum CF, Lim SC.</t>
  </si>
  <si>
    <t>Diabetologia</t>
  </si>
  <si>
    <t>Precise clinicopathologic findings for application of genetic testing in pediatric kidney transplant recipients with focal segmental glomerulosclerosis/steroid-resistant nephrotic syndrome</t>
  </si>
  <si>
    <t>Miura K, Kaneko N, Hashimoto T, Ishizuka K, Shirai Y, Hisano M, Chikamoto H, Akioka Y, Kanda S, Harita Y, Yamamoto T, Hattori M.</t>
  </si>
  <si>
    <t>A machine learning-assisted model for renal urate underexcretion with genetic and clinical variables among Chinese men with gout</t>
  </si>
  <si>
    <t>Sun M, Sun W, Zhao X, Li Z, Dalbeth N, Ji A, He Y, Qu H, Zheng G, Ma L, Wang J, Shi Y, Fang X, Chen H, Merriman TR, Li C.</t>
  </si>
  <si>
    <t>Arthritis Res Ther</t>
  </si>
  <si>
    <t>A novel monogenic preimplantation genetic testing strategy for sporadic polycystic kidney caused by de novo PKD1 mutation</t>
  </si>
  <si>
    <t>Shi H, Niu W, Liu Y, Jin H, Song W, Shi S, Yao G, Xu J, Sun Y.</t>
  </si>
  <si>
    <t>CRISPR/Cas9 genome-wide loss-of-function screening identifies druggable cellular factors involved in sunitinib resistance in renal cell carcinoma</t>
  </si>
  <si>
    <t>Makhov P, Sohn JA, Serebriiskii IG, Fazliyeva R, Khazak V, Boumber Y, Uzzo RG, Kolenko VM.</t>
  </si>
  <si>
    <t>Early Tacrolimus Concentrations After Lung Transplant Are Predicted by Combined Clinical and Genetic Factors and Associated With Acute Kidney Injury</t>
  </si>
  <si>
    <t>Miano TA, Flesch JD, Feng R, Forker CM, Brown M, Oyster M, Kalman L, Rushefski M, Cantu E 3rd, Porteus M, Yang W, Localio AR, Diamond JM, Christie JD, Shashaty MGS.</t>
  </si>
  <si>
    <t>Clin Pharmacol Ther</t>
  </si>
  <si>
    <t>Diagnostic policies on nephrolithiasis/nephrocalcinosis of possible genetic origin by Italian nephrologists: a survey by the Italian Society of Nephrology with an emphasis on primary hyperoxaluria</t>
  </si>
  <si>
    <t>Ferraro PM, Caletti C, Capolongo G, Lombardi M, Scolari F, Vezzoli G, Vitale C, Gambaro G.</t>
  </si>
  <si>
    <t>Heterogeneity of tumor microenvironment is associated with clinical prognosis of non-clear cell renal cell carcinoma: a single-cell genomics study</t>
  </si>
  <si>
    <t>Chen WJ, Cao H, Cao JW, Zuo L, Qu FJ, Xu D, Zhang H, Gong HY, Chen JX, Ye JQ, Gan SS, Zhou W, Zhu DW, Pan XW, Cui XG.</t>
  </si>
  <si>
    <t>Cell Death Dis</t>
  </si>
  <si>
    <t>Transplant Nephrologists' Preferences for Clinical Decision Support for APOL1 Genetic Testing of Living Kidney Donors: A Focus Group Study</t>
  </si>
  <si>
    <t>Rasmussen LV, Agrawal AH, Gordon EJ.</t>
  </si>
  <si>
    <t>Do genetic variations in proximal tubule transporters influence tenofovir-induced renal dysfunction? An exploratory study in a Ghanaian population</t>
  </si>
  <si>
    <t>Neary M, Olagunju A, Sarfo F, Phillips R, Moss D, Owen A, Chadwick D.</t>
  </si>
  <si>
    <t>J Antimicrob Chemother</t>
  </si>
  <si>
    <t>Molecular Genetic Determinants of Shorter Time on Active Surveillance in a Prospective Phase 2 Clinical Trial in Metastatic Renal Cell Carcinoma</t>
  </si>
  <si>
    <t>Reig Torras O, Mishra A, Christie A, McKenzie T, Onabolu O, Singla N, Plimack ER, Suárez C, Ornstein MC, Alpaugh RK, Elias R, Bowman IA, McKay RM, Przybycin C, Kapur P, Brugarolas J, Rini B.</t>
  </si>
  <si>
    <t>Eur Urol</t>
  </si>
  <si>
    <t>Influence of genetic polymorphisms in vascular endothelial-related genes on the clinical outcome of axitinib in patients with metastatic renal cell carcinoma</t>
  </si>
  <si>
    <t>Numakura K, Igarashi R, Takahashi M, Nara T, Kanda S, Saito M, Narita S, Inoue T, Niioka T, Miura M, Habuchi T.</t>
  </si>
  <si>
    <t>Cancer Biol Ther</t>
  </si>
  <si>
    <t>Participant Choice towards Receiving Potential Additional Findings in an Australian Nephrology Research Genomics Study</t>
  </si>
  <si>
    <t>O'Shea R, Wood A, Patel C, McCarthy HJ, Mallawaarachchi A, Quinlan C, Simons C, Stark Z, Mallett AJ.</t>
  </si>
  <si>
    <t>Opinions of African American adults about the use of apolipoprotein L1 (ApoL1) genetic testing in living kidney donation and transplantation</t>
  </si>
  <si>
    <t>Berrigan M, Austrie J, Fleishman A, Tercyak KP, Pollak MR, Pavlakis M, Rohan V, Baliga PK, Kayler LK, Feeley TH, Rodrigue JR.</t>
  </si>
  <si>
    <t>The ethics of genetic testing for kidney diseases</t>
  </si>
  <si>
    <t>Sabatello M, Milo Rasouly H.</t>
  </si>
  <si>
    <t>Genetically engineered human embryonic kidney cells as a novel vehicle for dual patch clamp study of human gap junction channels</t>
  </si>
  <si>
    <t>Chen H, Li YX, Wong RS, Esseltine JL, Bai D.</t>
  </si>
  <si>
    <t>Biochem J</t>
  </si>
  <si>
    <t>SARS-CoV-2 systemic infection in a kidney transplant recipient: sequence analysis in clinical specimens</t>
  </si>
  <si>
    <t>Monne M, Asproni R, Fancello T, Piras G, Sulis V, Floris AR, Sanna F, Toja A, Paffi P, Carai A, Mameli G, Fiamma M.</t>
  </si>
  <si>
    <t>Eur Rev Med Pharmacol Sci</t>
  </si>
  <si>
    <t>Biomarker panels may be superior over single molecules in prediction of renal flares in systemic lupus erythematosus: an exploratory study</t>
  </si>
  <si>
    <t>Fasano S, Pierro L, Borgia A, Coscia MA, Formica R, Bucci L, Riccardi A, Ciccia F.</t>
  </si>
  <si>
    <t>Potential benefits of rapid genetic testing for germline WT1 in infants with bilateral renal tumors: A case report</t>
  </si>
  <si>
    <t>Yoshikawa H, Sato T, Ishikawa T, Ito J, Yamazaki F, Shima H, Honda M, Shibata H, Ishii T, Asanuma H, Shimada H, Hasegawa T.</t>
  </si>
  <si>
    <t>Pediatr Blood Cancer</t>
  </si>
  <si>
    <t>Initial_screen</t>
  </si>
  <si>
    <t>Nprobands</t>
  </si>
  <si>
    <t>AdultPredominant</t>
  </si>
  <si>
    <t>ClinicSetting</t>
  </si>
  <si>
    <t>TestModality</t>
  </si>
  <si>
    <t>PhenotypeCategoriesReported</t>
  </si>
  <si>
    <t>MeetsAllInclusion</t>
  </si>
  <si>
    <t>Y</t>
  </si>
  <si>
    <t>Country</t>
  </si>
  <si>
    <t>Italy</t>
  </si>
  <si>
    <t>US</t>
  </si>
  <si>
    <t>CAKUT, Tubulopathy, Cystic, Ciliopathy, Nephrolithiasis, Glomerular, aHUS, ESKDu</t>
  </si>
  <si>
    <t xml:space="preserve">Cystic nephropathy, Nephropathy associated with hypertension, Proteinuric disease suggestive of a primary glomerulopathy, Nephropathy associated with diabetes mellitus, ESKD, CKDu, Nephrolithiasis, Congenital nephropathy, Early onset, severe, or familial hypertension, Hematuria, Tubulointerstitial disease of unknown etiology, Electrolyte and/or acid base disorder, Thrombotic microangiopathy	</t>
  </si>
  <si>
    <t>Australia</t>
  </si>
  <si>
    <t>Multidisciplinary renal genetics clinic</t>
  </si>
  <si>
    <t>Notes</t>
  </si>
  <si>
    <t>Most patients had CMA before ES</t>
  </si>
  <si>
    <t>Alport, CAKUT, Complement disorder, Cystic, Nephrotic, Tubular disease, Other, Unknown</t>
  </si>
  <si>
    <t>Mixed ohenotype renal cohort</t>
  </si>
  <si>
    <t>Disease specific cohort</t>
  </si>
  <si>
    <t>The paper does not provide a master table of specific variants (HGVS) for the 338 positive cases.</t>
  </si>
  <si>
    <t>Exome</t>
  </si>
  <si>
    <t>Comprehensive panel</t>
  </si>
  <si>
    <t>Spain</t>
  </si>
  <si>
    <t>CAKUT, Podocytopathy, Alport, ADTKD, aHUS, Cystic, Nephronophthisis, Tubulopathies, Others</t>
  </si>
  <si>
    <t>N</t>
  </si>
  <si>
    <t>Review paper</t>
  </si>
  <si>
    <t>Childhood-onset predominant</t>
  </si>
  <si>
    <t>Best-practices paper</t>
  </si>
  <si>
    <t>Not a cohort study of diagnostic testing results</t>
  </si>
  <si>
    <t>Ireland</t>
  </si>
  <si>
    <t>This study featured multiple genetic testing strategies. Gene panel was the most common (416), with ES being the second most common (193). Patients with ADPKD received targeted PKD1 testing and 43 patients with ADTKS received targeted MUC1/UMOD testing.</t>
  </si>
  <si>
    <t>CAKUT, Alport syndrome/focal segmental glomerulosclerosis,  glomerulonephritis, polycystic kidney disease, chronic kidney disease of uncertain aetiology, tubulointerstitial kidney disease</t>
  </si>
  <si>
    <t>Study design only</t>
  </si>
  <si>
    <t>Does not meet N proband criteria for &gt;150</t>
  </si>
  <si>
    <t>European</t>
  </si>
  <si>
    <t>Multi-centre study</t>
  </si>
  <si>
    <t>Small targeted panel of 44 genes (44 gene commercial test developed by SOPHiA GENETICS)</t>
  </si>
  <si>
    <t>Targeted panel</t>
  </si>
  <si>
    <t>Cystic disease, Glomerulopathy, CAKUT, Nephrolithiasis, Tubulopathy, 
uCKD</t>
  </si>
  <si>
    <t>Initial_screen coding</t>
  </si>
  <si>
    <t>0 = exclude at title/abstract (out of scope)</t>
  </si>
  <si>
    <t>1 = include for full-text review</t>
  </si>
  <si>
    <t>2 = exclude at title/abstract: single phenotype cohort</t>
  </si>
  <si>
    <t>record_id</t>
  </si>
  <si>
    <t>title</t>
  </si>
  <si>
    <t>year</t>
  </si>
  <si>
    <t>database</t>
  </si>
  <si>
    <t>duplicate</t>
  </si>
  <si>
    <t>ta_decision</t>
  </si>
  <si>
    <t>fulltext_sought</t>
  </si>
  <si>
    <t>fulltext_retrieved</t>
  </si>
  <si>
    <t>fulltext_decision</t>
  </si>
  <si>
    <t>fulltext_exclusion_reason</t>
  </si>
  <si>
    <t>study_id</t>
  </si>
  <si>
    <t>notes</t>
  </si>
  <si>
    <t>PubMed</t>
  </si>
  <si>
    <t>exclude</t>
  </si>
  <si>
    <t>33532864</t>
  </si>
  <si>
    <t>37400792</t>
  </si>
  <si>
    <t>37261792</t>
  </si>
  <si>
    <t>include</t>
  </si>
  <si>
    <t>36573973</t>
  </si>
  <si>
    <t>34264297</t>
  </si>
  <si>
    <t>33437033</t>
  </si>
  <si>
    <t>33226606</t>
  </si>
  <si>
    <t>37794564</t>
  </si>
  <si>
    <t>32939031</t>
  </si>
  <si>
    <t>32450155</t>
  </si>
  <si>
    <t>35368817</t>
  </si>
  <si>
    <t>38972501</t>
  </si>
  <si>
    <t>38797326</t>
  </si>
  <si>
    <t>38104198</t>
  </si>
  <si>
    <t>37126668</t>
  </si>
  <si>
    <t>38671320</t>
  </si>
  <si>
    <t>35229136</t>
  </si>
  <si>
    <t>32739203</t>
  </si>
  <si>
    <t>36753701</t>
  </si>
  <si>
    <t>35994232</t>
  </si>
  <si>
    <t>39138396</t>
  </si>
  <si>
    <t>34237823</t>
  </si>
  <si>
    <t>34519781</t>
  </si>
  <si>
    <t>32646915</t>
  </si>
  <si>
    <t>38190104</t>
  </si>
  <si>
    <t>36623684</t>
  </si>
  <si>
    <t>36444934</t>
  </si>
  <si>
    <t>38852815</t>
  </si>
  <si>
    <t>37270787</t>
  </si>
  <si>
    <t>35115544</t>
  </si>
  <si>
    <t>32312792</t>
  </si>
  <si>
    <t>31853010</t>
  </si>
  <si>
    <t>34067580</t>
  </si>
  <si>
    <t>37624678</t>
  </si>
  <si>
    <t>37103770</t>
  </si>
  <si>
    <t>39405682</t>
  </si>
  <si>
    <t>39402708</t>
  </si>
  <si>
    <t>37489581</t>
  </si>
  <si>
    <t>38905995</t>
  </si>
  <si>
    <t>39819994</t>
  </si>
  <si>
    <t>33783510</t>
  </si>
  <si>
    <t>36245662</t>
  </si>
  <si>
    <t>32889981</t>
  </si>
  <si>
    <t>36525551</t>
  </si>
  <si>
    <t>40345499</t>
  </si>
  <si>
    <t>31822006</t>
  </si>
  <si>
    <t>40484353</t>
  </si>
  <si>
    <t>32799815</t>
  </si>
  <si>
    <t>36758113</t>
  </si>
  <si>
    <t>34449333</t>
  </si>
  <si>
    <t>35120996</t>
  </si>
  <si>
    <t>32855195</t>
  </si>
  <si>
    <t>34946851</t>
  </si>
  <si>
    <t>35006361</t>
  </si>
  <si>
    <t>34343338</t>
  </si>
  <si>
    <t>34363274</t>
  </si>
  <si>
    <t>37391705</t>
  </si>
  <si>
    <t>32080893</t>
  </si>
  <si>
    <t>33276865</t>
  </si>
  <si>
    <t>32574212</t>
  </si>
  <si>
    <t>37248651</t>
  </si>
  <si>
    <t>37510393</t>
  </si>
  <si>
    <t>40325148</t>
  </si>
  <si>
    <t>35962481</t>
  </si>
  <si>
    <t>36404353</t>
  </si>
  <si>
    <t>36072369</t>
  </si>
  <si>
    <t>35099770</t>
  </si>
  <si>
    <t>35393322</t>
  </si>
  <si>
    <t>35148957</t>
  </si>
  <si>
    <t>39054238</t>
  </si>
  <si>
    <t>33838163</t>
  </si>
  <si>
    <t>37229630</t>
  </si>
  <si>
    <t>36949158</t>
  </si>
  <si>
    <t>37759214</t>
  </si>
  <si>
    <t>39965361</t>
  </si>
  <si>
    <t>37978231</t>
  </si>
  <si>
    <t>37037154</t>
  </si>
  <si>
    <t>38022507</t>
  </si>
  <si>
    <t>34354814</t>
  </si>
  <si>
    <t>36627639</t>
  </si>
  <si>
    <t>33108403</t>
  </si>
  <si>
    <t>38152017</t>
  </si>
  <si>
    <t>35603906</t>
  </si>
  <si>
    <t>33095447</t>
  </si>
  <si>
    <t>34521993</t>
  </si>
  <si>
    <t>36688940</t>
  </si>
  <si>
    <t>35980750</t>
  </si>
  <si>
    <t>34946941</t>
  </si>
  <si>
    <t>31646670</t>
  </si>
  <si>
    <t>34545573</t>
  </si>
  <si>
    <t>39333970</t>
  </si>
  <si>
    <t>34134020</t>
  </si>
  <si>
    <t>34565606</t>
  </si>
  <si>
    <t>32029730</t>
  </si>
  <si>
    <t>35064937</t>
  </si>
  <si>
    <t>36463540</t>
  </si>
  <si>
    <t>32398770</t>
  </si>
  <si>
    <t>33958773</t>
  </si>
  <si>
    <t>38347632</t>
  </si>
  <si>
    <t>34148064</t>
  </si>
  <si>
    <t>34327334</t>
  </si>
  <si>
    <t>37042117</t>
  </si>
  <si>
    <t>39150521</t>
  </si>
  <si>
    <t>35369652</t>
  </si>
  <si>
    <t>38906652</t>
  </si>
  <si>
    <t>35244702</t>
  </si>
  <si>
    <t>39363241</t>
  </si>
  <si>
    <t>32299846</t>
  </si>
  <si>
    <t>32779812</t>
  </si>
  <si>
    <t>39626636</t>
  </si>
  <si>
    <t>38932496</t>
  </si>
  <si>
    <t>33407230</t>
  </si>
  <si>
    <t>37864521</t>
  </si>
  <si>
    <t>33693791</t>
  </si>
  <si>
    <t>32969247</t>
  </si>
  <si>
    <t>35429337</t>
  </si>
  <si>
    <t>38547852</t>
  </si>
  <si>
    <t>39143076</t>
  </si>
  <si>
    <t>37228720</t>
  </si>
  <si>
    <t>34628264</t>
  </si>
  <si>
    <t>36547129</t>
  </si>
  <si>
    <t>40533884</t>
  </si>
  <si>
    <t>34923958</t>
  </si>
  <si>
    <t>39832277</t>
  </si>
  <si>
    <t>31999492</t>
  </si>
  <si>
    <t>32723786</t>
  </si>
  <si>
    <t>33107440</t>
  </si>
  <si>
    <t>30953057</t>
  </si>
  <si>
    <t>37468236</t>
  </si>
  <si>
    <t>32803290</t>
  </si>
  <si>
    <t>38609702</t>
  </si>
  <si>
    <t>32600054</t>
  </si>
  <si>
    <t>32828237</t>
  </si>
  <si>
    <t>39107157</t>
  </si>
  <si>
    <t>33534524</t>
  </si>
  <si>
    <t>34197840</t>
  </si>
  <si>
    <t>32334565</t>
  </si>
  <si>
    <t>36782285</t>
  </si>
  <si>
    <t>35314744</t>
  </si>
  <si>
    <t>38574989</t>
  </si>
  <si>
    <t>31852011</t>
  </si>
  <si>
    <t>33107222</t>
  </si>
  <si>
    <t>31992108</t>
  </si>
  <si>
    <t>32661119</t>
  </si>
  <si>
    <t>38678107</t>
  </si>
  <si>
    <t>37574436</t>
  </si>
  <si>
    <t>34237133</t>
  </si>
  <si>
    <t>33087822</t>
  </si>
  <si>
    <t>33861738</t>
  </si>
  <si>
    <t>33048330</t>
  </si>
  <si>
    <t>32673684</t>
  </si>
  <si>
    <t>35977080</t>
  </si>
  <si>
    <t>38886300</t>
  </si>
  <si>
    <t>34358382</t>
  </si>
  <si>
    <t>34654685</t>
  </si>
  <si>
    <t>32176594</t>
  </si>
  <si>
    <t>39913368</t>
  </si>
  <si>
    <t>37349938</t>
  </si>
  <si>
    <t>31764220</t>
  </si>
  <si>
    <t>36253912</t>
  </si>
  <si>
    <t>35763031</t>
  </si>
  <si>
    <t>35655039</t>
  </si>
  <si>
    <t>35264217</t>
  </si>
  <si>
    <t>33111320</t>
  </si>
  <si>
    <t>32968206</t>
  </si>
  <si>
    <t>31513279</t>
  </si>
  <si>
    <t>37358729</t>
  </si>
  <si>
    <t>35017463</t>
  </si>
  <si>
    <t>38032814</t>
  </si>
  <si>
    <t>32060504</t>
  </si>
  <si>
    <t>34980496</t>
  </si>
  <si>
    <t>38327067</t>
  </si>
  <si>
    <t>36292688</t>
  </si>
  <si>
    <t>32659871</t>
  </si>
  <si>
    <t>32358593</t>
  </si>
  <si>
    <t>38752978</t>
  </si>
  <si>
    <t>33275263</t>
  </si>
  <si>
    <t>32211780</t>
  </si>
  <si>
    <t>34558169</t>
  </si>
  <si>
    <t>Single phenotype</t>
  </si>
  <si>
    <t>Not adult predominant cohort</t>
  </si>
  <si>
    <t>Review commentary protocol</t>
  </si>
  <si>
    <t>Does not meet N proband criteria</t>
  </si>
  <si>
    <t>box</t>
  </si>
  <si>
    <t>n</t>
  </si>
  <si>
    <t>boxtext</t>
  </si>
  <si>
    <t>tooltip</t>
  </si>
  <si>
    <t>url</t>
  </si>
  <si>
    <t>database_results</t>
  </si>
  <si>
    <t>Records identified from databases</t>
  </si>
  <si>
    <t>register_results</t>
  </si>
  <si>
    <t>Records identified from registers</t>
  </si>
  <si>
    <t>duplicates</t>
  </si>
  <si>
    <t>Duplicate records removed</t>
  </si>
  <si>
    <t>excluded_automatic</t>
  </si>
  <si>
    <t>Records marked as ineligible by automation tools</t>
  </si>
  <si>
    <t>excluded_other</t>
  </si>
  <si>
    <t>Records removed for other reasons</t>
  </si>
  <si>
    <t>records_screened</t>
  </si>
  <si>
    <t>Records screened</t>
  </si>
  <si>
    <t>records_excluded</t>
  </si>
  <si>
    <t>dbr_sought_reports</t>
  </si>
  <si>
    <t>Reports sought for retrieval</t>
  </si>
  <si>
    <t>dbr_notretrieved_reports</t>
  </si>
  <si>
    <t>Reports not retrieved</t>
  </si>
  <si>
    <t>dbr_assessed</t>
  </si>
  <si>
    <t>Reports assessed for eligibility</t>
  </si>
  <si>
    <t>dbr_excluded</t>
  </si>
  <si>
    <t>Reports excluded</t>
  </si>
  <si>
    <t>total_studies</t>
  </si>
  <si>
    <t>Total studies included in review</t>
  </si>
  <si>
    <t>previous_studies</t>
  </si>
  <si>
    <t>Studies included in previous version of review</t>
  </si>
  <si>
    <t>previous_reports</t>
  </si>
  <si>
    <t>Reports of studies included in previous version of review</t>
  </si>
  <si>
    <t>Records excluded by title and abstract screening</t>
  </si>
  <si>
    <t>1 = passes intitial screen</t>
  </si>
  <si>
    <t>2 = passes screen but phenotype-specific cohort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</si>
</sst>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b/>
      <sz val="12"/>
      <name val="Aptos Narrow"/>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71020-6714-E84A-8EBC-56D37C28F631}">
  <dimension ref="A1:H180"/>
  <sheetViews>
    <sheetView tabSelected="1" zoomScale="130" zoomScaleNormal="130" workbookViewId="0">
      <selection activeCell="B5" sqref="B5"/>
    </sheetView>
  </sheetViews>
  <sheetFormatPr baseColWidth="10" defaultRowHeight="16"/>
  <cols>
    <col min="2" max="2" width="45.33203125" style="1" customWidth="1"/>
    <col min="3" max="3" width="24.6640625" customWidth="1"/>
    <col min="4" max="4" width="25.1640625" customWidth="1"/>
    <col min="5" max="5" width="15.1640625" customWidth="1"/>
    <col min="6" max="6" width="15.6640625" customWidth="1"/>
  </cols>
  <sheetData>
    <row r="1" spans="1:8" ht="17">
      <c r="A1" t="s">
        <v>0</v>
      </c>
      <c r="B1" s="1" t="s">
        <v>1</v>
      </c>
      <c r="C1" t="s">
        <v>2</v>
      </c>
      <c r="D1" t="s">
        <v>3</v>
      </c>
      <c r="E1" t="s">
        <v>4</v>
      </c>
      <c r="F1" t="s">
        <v>466</v>
      </c>
    </row>
    <row r="2" spans="1:8" ht="34">
      <c r="A2">
        <v>33532864</v>
      </c>
      <c r="B2" s="1" t="s">
        <v>5</v>
      </c>
      <c r="C2" t="s">
        <v>6</v>
      </c>
      <c r="D2" t="s">
        <v>7</v>
      </c>
      <c r="E2">
        <v>2022</v>
      </c>
      <c r="H2" t="s">
        <v>741</v>
      </c>
    </row>
    <row r="3" spans="1:8" ht="34">
      <c r="A3">
        <v>37400792</v>
      </c>
      <c r="B3" s="1" t="s">
        <v>8</v>
      </c>
      <c r="C3" t="s">
        <v>9</v>
      </c>
      <c r="D3" t="s">
        <v>10</v>
      </c>
      <c r="E3">
        <v>2023</v>
      </c>
      <c r="H3" t="s">
        <v>742</v>
      </c>
    </row>
    <row r="4" spans="1:8" ht="17">
      <c r="A4">
        <v>37261792</v>
      </c>
      <c r="B4" s="1" t="s">
        <v>11</v>
      </c>
      <c r="C4" t="s">
        <v>12</v>
      </c>
      <c r="D4" t="s">
        <v>13</v>
      </c>
      <c r="E4">
        <v>2023</v>
      </c>
    </row>
    <row r="5" spans="1:8" ht="34">
      <c r="A5">
        <v>36573973</v>
      </c>
      <c r="B5" s="1" t="s">
        <v>14</v>
      </c>
      <c r="C5" t="s">
        <v>15</v>
      </c>
      <c r="D5" t="s">
        <v>16</v>
      </c>
      <c r="E5">
        <v>2022</v>
      </c>
      <c r="F5">
        <v>2</v>
      </c>
    </row>
    <row r="6" spans="1:8" ht="34">
      <c r="A6">
        <v>34264297</v>
      </c>
      <c r="B6" s="1" t="s">
        <v>17</v>
      </c>
      <c r="C6" t="s">
        <v>18</v>
      </c>
      <c r="D6" t="s">
        <v>7</v>
      </c>
      <c r="E6">
        <v>2022</v>
      </c>
    </row>
    <row r="7" spans="1:8" ht="51">
      <c r="A7">
        <v>33437033</v>
      </c>
      <c r="B7" s="1" t="s">
        <v>19</v>
      </c>
      <c r="C7" t="s">
        <v>20</v>
      </c>
      <c r="D7" t="s">
        <v>21</v>
      </c>
      <c r="E7">
        <v>2021</v>
      </c>
      <c r="F7">
        <v>2</v>
      </c>
    </row>
    <row r="8" spans="1:8" ht="51">
      <c r="A8">
        <v>33226606</v>
      </c>
      <c r="B8" s="1" t="s">
        <v>22</v>
      </c>
      <c r="C8" t="s">
        <v>23</v>
      </c>
      <c r="D8" t="s">
        <v>24</v>
      </c>
      <c r="E8">
        <v>2021</v>
      </c>
      <c r="F8">
        <v>1</v>
      </c>
    </row>
    <row r="9" spans="1:8" ht="51">
      <c r="A9">
        <v>37794564</v>
      </c>
      <c r="B9" s="1" t="s">
        <v>25</v>
      </c>
      <c r="C9" t="s">
        <v>26</v>
      </c>
      <c r="D9" t="s">
        <v>13</v>
      </c>
      <c r="E9">
        <v>2023</v>
      </c>
      <c r="F9">
        <v>1</v>
      </c>
    </row>
    <row r="10" spans="1:8" ht="34">
      <c r="A10">
        <v>32939031</v>
      </c>
      <c r="B10" s="1" t="s">
        <v>27</v>
      </c>
      <c r="C10" t="s">
        <v>28</v>
      </c>
      <c r="D10" t="s">
        <v>29</v>
      </c>
      <c r="E10">
        <v>2021</v>
      </c>
      <c r="F10">
        <v>1</v>
      </c>
    </row>
    <row r="11" spans="1:8" ht="51">
      <c r="A11">
        <v>32450155</v>
      </c>
      <c r="B11" s="1" t="s">
        <v>30</v>
      </c>
      <c r="C11" t="s">
        <v>31</v>
      </c>
      <c r="D11" t="s">
        <v>32</v>
      </c>
      <c r="E11">
        <v>2020</v>
      </c>
      <c r="F11">
        <v>2</v>
      </c>
    </row>
    <row r="12" spans="1:8" ht="51">
      <c r="A12">
        <v>35368817</v>
      </c>
      <c r="B12" s="1" t="s">
        <v>33</v>
      </c>
      <c r="C12" t="s">
        <v>34</v>
      </c>
      <c r="D12" t="s">
        <v>35</v>
      </c>
      <c r="E12">
        <v>2020</v>
      </c>
      <c r="F12">
        <v>2</v>
      </c>
    </row>
    <row r="13" spans="1:8" ht="51">
      <c r="A13">
        <v>38972501</v>
      </c>
      <c r="B13" s="1" t="s">
        <v>36</v>
      </c>
      <c r="C13" t="s">
        <v>37</v>
      </c>
      <c r="D13" t="s">
        <v>38</v>
      </c>
      <c r="E13">
        <v>2024</v>
      </c>
      <c r="F13">
        <v>1</v>
      </c>
    </row>
    <row r="14" spans="1:8" ht="34">
      <c r="A14">
        <v>38797326</v>
      </c>
      <c r="B14" s="1" t="s">
        <v>39</v>
      </c>
      <c r="C14" t="s">
        <v>40</v>
      </c>
      <c r="D14" t="s">
        <v>32</v>
      </c>
      <c r="E14">
        <v>2024</v>
      </c>
    </row>
    <row r="15" spans="1:8" ht="34">
      <c r="A15">
        <v>38104198</v>
      </c>
      <c r="B15" s="1" t="s">
        <v>41</v>
      </c>
      <c r="C15" t="s">
        <v>42</v>
      </c>
      <c r="D15" t="s">
        <v>43</v>
      </c>
      <c r="E15">
        <v>2023</v>
      </c>
    </row>
    <row r="16" spans="1:8" ht="34">
      <c r="A16">
        <v>37126668</v>
      </c>
      <c r="B16" s="1" t="s">
        <v>44</v>
      </c>
      <c r="C16" t="s">
        <v>45</v>
      </c>
      <c r="D16" t="s">
        <v>13</v>
      </c>
      <c r="E16">
        <v>2023</v>
      </c>
    </row>
    <row r="17" spans="1:6" ht="34">
      <c r="A17">
        <v>38671320</v>
      </c>
      <c r="B17" s="1" t="s">
        <v>46</v>
      </c>
      <c r="C17" t="s">
        <v>47</v>
      </c>
      <c r="D17" t="s">
        <v>48</v>
      </c>
      <c r="E17">
        <v>2024</v>
      </c>
    </row>
    <row r="18" spans="1:6" ht="34">
      <c r="A18">
        <v>35229136</v>
      </c>
      <c r="B18" s="1" t="s">
        <v>49</v>
      </c>
      <c r="C18" t="s">
        <v>50</v>
      </c>
      <c r="D18" t="s">
        <v>51</v>
      </c>
      <c r="E18">
        <v>2022</v>
      </c>
    </row>
    <row r="19" spans="1:6" ht="17">
      <c r="A19">
        <v>32739203</v>
      </c>
      <c r="B19" s="1" t="s">
        <v>52</v>
      </c>
      <c r="C19" t="s">
        <v>53</v>
      </c>
      <c r="D19" t="s">
        <v>32</v>
      </c>
      <c r="E19">
        <v>2020</v>
      </c>
      <c r="F19">
        <v>1</v>
      </c>
    </row>
    <row r="20" spans="1:6" ht="34">
      <c r="A20">
        <v>36753701</v>
      </c>
      <c r="B20" s="1" t="s">
        <v>54</v>
      </c>
      <c r="C20" t="s">
        <v>55</v>
      </c>
      <c r="D20" t="s">
        <v>13</v>
      </c>
      <c r="E20">
        <v>2023</v>
      </c>
      <c r="F20">
        <v>1</v>
      </c>
    </row>
    <row r="21" spans="1:6" ht="34">
      <c r="A21">
        <v>35994232</v>
      </c>
      <c r="B21" s="1" t="s">
        <v>56</v>
      </c>
      <c r="C21" t="s">
        <v>57</v>
      </c>
      <c r="D21" t="s">
        <v>24</v>
      </c>
      <c r="E21">
        <v>2023</v>
      </c>
    </row>
    <row r="22" spans="1:6" ht="51">
      <c r="A22">
        <v>39138396</v>
      </c>
      <c r="B22" s="1" t="s">
        <v>58</v>
      </c>
      <c r="C22" t="s">
        <v>59</v>
      </c>
      <c r="D22" t="s">
        <v>60</v>
      </c>
      <c r="E22">
        <v>2024</v>
      </c>
    </row>
    <row r="23" spans="1:6" ht="51">
      <c r="A23">
        <v>34237823</v>
      </c>
      <c r="B23" s="1" t="s">
        <v>61</v>
      </c>
      <c r="C23" t="s">
        <v>62</v>
      </c>
      <c r="D23" t="s">
        <v>63</v>
      </c>
      <c r="E23">
        <v>2021</v>
      </c>
      <c r="F23">
        <v>2</v>
      </c>
    </row>
    <row r="24" spans="1:6" ht="34">
      <c r="A24">
        <v>34519781</v>
      </c>
      <c r="B24" s="1" t="s">
        <v>64</v>
      </c>
      <c r="C24" t="s">
        <v>65</v>
      </c>
      <c r="D24" t="s">
        <v>7</v>
      </c>
      <c r="E24">
        <v>2023</v>
      </c>
    </row>
    <row r="25" spans="1:6" ht="34">
      <c r="A25">
        <v>32646915</v>
      </c>
      <c r="B25" s="1" t="s">
        <v>66</v>
      </c>
      <c r="C25" t="s">
        <v>67</v>
      </c>
      <c r="D25" t="s">
        <v>68</v>
      </c>
      <c r="E25">
        <v>2020</v>
      </c>
      <c r="F25">
        <v>1</v>
      </c>
    </row>
    <row r="26" spans="1:6" ht="51">
      <c r="A26">
        <v>38190104</v>
      </c>
      <c r="B26" s="1" t="s">
        <v>69</v>
      </c>
      <c r="C26" t="s">
        <v>70</v>
      </c>
      <c r="D26" t="s">
        <v>71</v>
      </c>
      <c r="E26">
        <v>2024</v>
      </c>
    </row>
    <row r="27" spans="1:6" ht="68">
      <c r="A27">
        <v>36623684</v>
      </c>
      <c r="B27" s="1" t="s">
        <v>72</v>
      </c>
      <c r="C27" t="s">
        <v>73</v>
      </c>
      <c r="D27" t="s">
        <v>38</v>
      </c>
      <c r="E27">
        <v>2023</v>
      </c>
    </row>
    <row r="28" spans="1:6" ht="34">
      <c r="A28">
        <v>36444934</v>
      </c>
      <c r="B28" s="1" t="s">
        <v>74</v>
      </c>
      <c r="C28" t="s">
        <v>75</v>
      </c>
      <c r="D28" t="s">
        <v>76</v>
      </c>
      <c r="E28">
        <v>2023</v>
      </c>
    </row>
    <row r="29" spans="1:6" ht="51">
      <c r="A29">
        <v>38852815</v>
      </c>
      <c r="B29" s="1" t="s">
        <v>77</v>
      </c>
      <c r="C29" t="s">
        <v>78</v>
      </c>
      <c r="D29" t="s">
        <v>79</v>
      </c>
      <c r="E29">
        <v>2024</v>
      </c>
    </row>
    <row r="30" spans="1:6" ht="34">
      <c r="A30">
        <v>37270787</v>
      </c>
      <c r="B30" s="1" t="s">
        <v>80</v>
      </c>
      <c r="C30" t="s">
        <v>81</v>
      </c>
      <c r="D30" t="s">
        <v>82</v>
      </c>
      <c r="E30">
        <v>2023</v>
      </c>
      <c r="F30">
        <v>1</v>
      </c>
    </row>
    <row r="31" spans="1:6" ht="34">
      <c r="A31">
        <v>35115544</v>
      </c>
      <c r="B31" s="1" t="s">
        <v>83</v>
      </c>
      <c r="C31" t="s">
        <v>84</v>
      </c>
      <c r="D31" t="s">
        <v>85</v>
      </c>
      <c r="E31">
        <v>2022</v>
      </c>
    </row>
    <row r="32" spans="1:6" ht="34">
      <c r="A32">
        <v>32312792</v>
      </c>
      <c r="B32" s="1" t="s">
        <v>86</v>
      </c>
      <c r="C32" t="s">
        <v>87</v>
      </c>
      <c r="D32" t="s">
        <v>68</v>
      </c>
      <c r="E32">
        <v>2020</v>
      </c>
      <c r="F32">
        <v>2</v>
      </c>
    </row>
    <row r="33" spans="1:6" ht="34">
      <c r="A33">
        <v>31853010</v>
      </c>
      <c r="B33" s="1" t="s">
        <v>88</v>
      </c>
      <c r="C33" t="s">
        <v>89</v>
      </c>
      <c r="D33" t="s">
        <v>90</v>
      </c>
      <c r="E33">
        <v>2020</v>
      </c>
    </row>
    <row r="34" spans="1:6" ht="34">
      <c r="A34">
        <v>34067580</v>
      </c>
      <c r="B34" s="1" t="s">
        <v>91</v>
      </c>
      <c r="C34" t="s">
        <v>92</v>
      </c>
      <c r="D34" t="s">
        <v>93</v>
      </c>
      <c r="E34">
        <v>2021</v>
      </c>
    </row>
    <row r="35" spans="1:6" ht="51">
      <c r="A35">
        <v>37624678</v>
      </c>
      <c r="B35" s="1" t="s">
        <v>94</v>
      </c>
      <c r="C35" t="s">
        <v>95</v>
      </c>
      <c r="D35" t="s">
        <v>96</v>
      </c>
      <c r="E35">
        <v>2023</v>
      </c>
    </row>
    <row r="36" spans="1:6" ht="51">
      <c r="A36">
        <v>37103770</v>
      </c>
      <c r="B36" s="1" t="s">
        <v>97</v>
      </c>
      <c r="C36" t="s">
        <v>98</v>
      </c>
      <c r="D36" t="s">
        <v>24</v>
      </c>
      <c r="E36">
        <v>2023</v>
      </c>
    </row>
    <row r="37" spans="1:6" ht="51">
      <c r="A37">
        <v>39405682</v>
      </c>
      <c r="B37" s="1" t="s">
        <v>99</v>
      </c>
      <c r="C37" t="s">
        <v>100</v>
      </c>
      <c r="D37" t="s">
        <v>101</v>
      </c>
      <c r="E37">
        <v>2024</v>
      </c>
    </row>
    <row r="38" spans="1:6" ht="51">
      <c r="A38">
        <v>39402708</v>
      </c>
      <c r="B38" s="1" t="s">
        <v>102</v>
      </c>
      <c r="C38" t="s">
        <v>103</v>
      </c>
      <c r="D38" t="s">
        <v>104</v>
      </c>
      <c r="E38">
        <v>2025</v>
      </c>
    </row>
    <row r="39" spans="1:6" ht="51">
      <c r="A39">
        <v>37489581</v>
      </c>
      <c r="B39" s="1" t="s">
        <v>105</v>
      </c>
      <c r="C39" t="s">
        <v>106</v>
      </c>
      <c r="D39" t="s">
        <v>29</v>
      </c>
      <c r="E39">
        <v>2023</v>
      </c>
      <c r="F39">
        <v>1</v>
      </c>
    </row>
    <row r="40" spans="1:6" ht="51">
      <c r="A40">
        <v>38905995</v>
      </c>
      <c r="B40" s="1" t="s">
        <v>107</v>
      </c>
      <c r="C40" t="s">
        <v>108</v>
      </c>
      <c r="D40" t="s">
        <v>109</v>
      </c>
      <c r="E40">
        <v>2024</v>
      </c>
    </row>
    <row r="41" spans="1:6" ht="68">
      <c r="A41">
        <v>39819994</v>
      </c>
      <c r="B41" s="1" t="s">
        <v>110</v>
      </c>
      <c r="C41" t="s">
        <v>111</v>
      </c>
      <c r="D41" t="s">
        <v>104</v>
      </c>
      <c r="E41">
        <v>2025</v>
      </c>
    </row>
    <row r="42" spans="1:6" ht="34">
      <c r="A42">
        <v>33783510</v>
      </c>
      <c r="B42" s="1" t="s">
        <v>112</v>
      </c>
      <c r="C42" t="s">
        <v>113</v>
      </c>
      <c r="D42" t="s">
        <v>76</v>
      </c>
      <c r="E42">
        <v>2021</v>
      </c>
    </row>
    <row r="43" spans="1:6" ht="34">
      <c r="A43">
        <v>36245662</v>
      </c>
      <c r="B43" s="1" t="s">
        <v>114</v>
      </c>
      <c r="C43" t="s">
        <v>115</v>
      </c>
      <c r="D43" t="s">
        <v>35</v>
      </c>
      <c r="E43">
        <v>2022</v>
      </c>
    </row>
    <row r="44" spans="1:6" ht="34">
      <c r="A44">
        <v>32889981</v>
      </c>
      <c r="B44" s="1" t="s">
        <v>116</v>
      </c>
      <c r="C44" t="s">
        <v>117</v>
      </c>
      <c r="D44" t="s">
        <v>118</v>
      </c>
      <c r="E44">
        <v>2020</v>
      </c>
    </row>
    <row r="45" spans="1:6" ht="34">
      <c r="A45">
        <v>36525551</v>
      </c>
      <c r="B45" s="1" t="s">
        <v>119</v>
      </c>
      <c r="C45" t="s">
        <v>120</v>
      </c>
      <c r="D45" t="s">
        <v>104</v>
      </c>
      <c r="E45">
        <v>2023</v>
      </c>
    </row>
    <row r="46" spans="1:6" ht="51">
      <c r="A46">
        <v>40345499</v>
      </c>
      <c r="B46" s="1" t="s">
        <v>121</v>
      </c>
      <c r="C46" t="s">
        <v>122</v>
      </c>
      <c r="D46" t="s">
        <v>123</v>
      </c>
      <c r="E46">
        <v>2025</v>
      </c>
    </row>
    <row r="47" spans="1:6" ht="17">
      <c r="A47">
        <v>31822006</v>
      </c>
      <c r="B47" s="1" t="s">
        <v>124</v>
      </c>
      <c r="C47" t="s">
        <v>125</v>
      </c>
      <c r="D47" t="s">
        <v>126</v>
      </c>
      <c r="E47">
        <v>2020</v>
      </c>
    </row>
    <row r="48" spans="1:6" ht="68">
      <c r="A48">
        <v>40484353</v>
      </c>
      <c r="B48" s="1" t="s">
        <v>127</v>
      </c>
      <c r="C48" t="s">
        <v>128</v>
      </c>
      <c r="D48" t="s">
        <v>32</v>
      </c>
      <c r="E48">
        <v>2025</v>
      </c>
    </row>
    <row r="49" spans="1:5" ht="34">
      <c r="A49">
        <v>32799815</v>
      </c>
      <c r="B49" s="1" t="s">
        <v>129</v>
      </c>
      <c r="C49" t="s">
        <v>130</v>
      </c>
      <c r="D49" t="s">
        <v>60</v>
      </c>
      <c r="E49">
        <v>2020</v>
      </c>
    </row>
    <row r="50" spans="1:5" ht="34">
      <c r="A50">
        <v>36758113</v>
      </c>
      <c r="B50" s="1" t="s">
        <v>131</v>
      </c>
      <c r="C50" t="s">
        <v>132</v>
      </c>
      <c r="D50" t="s">
        <v>13</v>
      </c>
      <c r="E50">
        <v>2023</v>
      </c>
    </row>
    <row r="51" spans="1:5" ht="34">
      <c r="A51">
        <v>34449333</v>
      </c>
      <c r="B51" s="1" t="s">
        <v>133</v>
      </c>
      <c r="C51" t="s">
        <v>134</v>
      </c>
      <c r="D51" t="s">
        <v>101</v>
      </c>
      <c r="E51">
        <v>2022</v>
      </c>
    </row>
    <row r="52" spans="1:5" ht="51">
      <c r="A52">
        <v>35120996</v>
      </c>
      <c r="B52" s="1" t="s">
        <v>135</v>
      </c>
      <c r="C52" t="s">
        <v>136</v>
      </c>
      <c r="D52" t="s">
        <v>32</v>
      </c>
      <c r="E52">
        <v>2022</v>
      </c>
    </row>
    <row r="53" spans="1:5" ht="34">
      <c r="A53">
        <v>32855195</v>
      </c>
      <c r="B53" s="1" t="s">
        <v>137</v>
      </c>
      <c r="C53" t="s">
        <v>138</v>
      </c>
      <c r="D53" t="s">
        <v>68</v>
      </c>
      <c r="E53">
        <v>2020</v>
      </c>
    </row>
    <row r="54" spans="1:5" ht="51">
      <c r="A54">
        <v>34946851</v>
      </c>
      <c r="B54" s="1" t="s">
        <v>139</v>
      </c>
      <c r="C54" t="s">
        <v>92</v>
      </c>
      <c r="D54" t="s">
        <v>93</v>
      </c>
      <c r="E54">
        <v>2021</v>
      </c>
    </row>
    <row r="55" spans="1:5" ht="51">
      <c r="A55">
        <v>35006361</v>
      </c>
      <c r="B55" s="1" t="s">
        <v>140</v>
      </c>
      <c r="C55" t="s">
        <v>141</v>
      </c>
      <c r="D55" t="s">
        <v>142</v>
      </c>
      <c r="E55">
        <v>2022</v>
      </c>
    </row>
    <row r="56" spans="1:5" ht="34">
      <c r="A56">
        <v>34343338</v>
      </c>
      <c r="B56" s="1" t="s">
        <v>143</v>
      </c>
      <c r="C56" t="s">
        <v>144</v>
      </c>
      <c r="D56" t="s">
        <v>145</v>
      </c>
      <c r="E56">
        <v>2021</v>
      </c>
    </row>
    <row r="57" spans="1:5" ht="34">
      <c r="A57">
        <v>34363274</v>
      </c>
      <c r="B57" s="1" t="s">
        <v>146</v>
      </c>
      <c r="C57" t="s">
        <v>147</v>
      </c>
      <c r="D57" t="s">
        <v>148</v>
      </c>
      <c r="E57">
        <v>2022</v>
      </c>
    </row>
    <row r="58" spans="1:5" ht="51">
      <c r="A58">
        <v>37391705</v>
      </c>
      <c r="B58" s="1" t="s">
        <v>149</v>
      </c>
      <c r="C58" t="s">
        <v>150</v>
      </c>
      <c r="D58" t="s">
        <v>151</v>
      </c>
      <c r="E58">
        <v>2023</v>
      </c>
    </row>
    <row r="59" spans="1:5" ht="51">
      <c r="A59">
        <v>32080893</v>
      </c>
      <c r="B59" s="1" t="s">
        <v>152</v>
      </c>
      <c r="C59" t="s">
        <v>153</v>
      </c>
      <c r="D59" t="s">
        <v>154</v>
      </c>
      <c r="E59">
        <v>2020</v>
      </c>
    </row>
    <row r="60" spans="1:5" ht="34">
      <c r="A60">
        <v>33276865</v>
      </c>
      <c r="B60" s="1" t="s">
        <v>155</v>
      </c>
      <c r="C60" t="s">
        <v>156</v>
      </c>
      <c r="D60" t="s">
        <v>32</v>
      </c>
      <c r="E60">
        <v>2020</v>
      </c>
    </row>
    <row r="61" spans="1:5" ht="51">
      <c r="A61">
        <v>32574212</v>
      </c>
      <c r="B61" s="1" t="s">
        <v>157</v>
      </c>
      <c r="C61" t="s">
        <v>158</v>
      </c>
      <c r="D61" t="s">
        <v>159</v>
      </c>
      <c r="E61">
        <v>2020</v>
      </c>
    </row>
    <row r="62" spans="1:5" ht="51">
      <c r="A62">
        <v>37248651</v>
      </c>
      <c r="B62" s="1" t="s">
        <v>160</v>
      </c>
      <c r="C62" t="s">
        <v>161</v>
      </c>
      <c r="D62" t="s">
        <v>162</v>
      </c>
      <c r="E62">
        <v>2023</v>
      </c>
    </row>
    <row r="63" spans="1:5" ht="85">
      <c r="A63">
        <v>37510393</v>
      </c>
      <c r="B63" s="1" t="s">
        <v>163</v>
      </c>
      <c r="C63" t="s">
        <v>164</v>
      </c>
      <c r="D63" t="s">
        <v>93</v>
      </c>
      <c r="E63">
        <v>2023</v>
      </c>
    </row>
    <row r="64" spans="1:5" ht="68">
      <c r="A64">
        <v>40325148</v>
      </c>
      <c r="B64" s="1" t="s">
        <v>165</v>
      </c>
      <c r="C64" t="s">
        <v>166</v>
      </c>
      <c r="D64" t="s">
        <v>167</v>
      </c>
      <c r="E64">
        <v>2025</v>
      </c>
    </row>
    <row r="65" spans="1:6" ht="51">
      <c r="A65">
        <v>35962481</v>
      </c>
      <c r="B65" s="1" t="s">
        <v>168</v>
      </c>
      <c r="C65" t="s">
        <v>169</v>
      </c>
      <c r="D65" t="s">
        <v>170</v>
      </c>
      <c r="E65">
        <v>2022</v>
      </c>
    </row>
    <row r="66" spans="1:6" ht="51">
      <c r="A66">
        <v>36404353</v>
      </c>
      <c r="B66" s="1" t="s">
        <v>171</v>
      </c>
      <c r="C66" t="s">
        <v>172</v>
      </c>
      <c r="D66" t="s">
        <v>173</v>
      </c>
      <c r="E66">
        <v>2023</v>
      </c>
    </row>
    <row r="67" spans="1:6" ht="68">
      <c r="A67">
        <v>36072369</v>
      </c>
      <c r="B67" s="1" t="s">
        <v>174</v>
      </c>
      <c r="C67" t="s">
        <v>175</v>
      </c>
      <c r="D67" t="s">
        <v>176</v>
      </c>
      <c r="E67">
        <v>2022</v>
      </c>
    </row>
    <row r="68" spans="1:6" ht="51">
      <c r="A68">
        <v>35099770</v>
      </c>
      <c r="B68" s="1" t="s">
        <v>177</v>
      </c>
      <c r="C68" t="s">
        <v>178</v>
      </c>
      <c r="D68" t="s">
        <v>24</v>
      </c>
      <c r="E68">
        <v>2022</v>
      </c>
      <c r="F68">
        <v>1</v>
      </c>
    </row>
    <row r="69" spans="1:6" ht="68">
      <c r="A69">
        <v>35393322</v>
      </c>
      <c r="B69" s="1" t="s">
        <v>179</v>
      </c>
      <c r="C69" t="s">
        <v>180</v>
      </c>
      <c r="D69" t="s">
        <v>181</v>
      </c>
      <c r="E69">
        <v>2022</v>
      </c>
      <c r="F69">
        <v>1</v>
      </c>
    </row>
    <row r="70" spans="1:6" ht="51">
      <c r="A70">
        <v>35148957</v>
      </c>
      <c r="B70" s="1" t="s">
        <v>182</v>
      </c>
      <c r="C70" t="s">
        <v>183</v>
      </c>
      <c r="D70" t="s">
        <v>184</v>
      </c>
      <c r="E70">
        <v>2022</v>
      </c>
    </row>
    <row r="71" spans="1:6" ht="51">
      <c r="A71">
        <v>39054238</v>
      </c>
      <c r="B71" s="1" t="s">
        <v>185</v>
      </c>
      <c r="C71" t="s">
        <v>186</v>
      </c>
      <c r="D71" t="s">
        <v>187</v>
      </c>
      <c r="E71">
        <v>2024</v>
      </c>
    </row>
    <row r="72" spans="1:6" ht="51">
      <c r="A72">
        <v>33838163</v>
      </c>
      <c r="B72" s="1" t="s">
        <v>188</v>
      </c>
      <c r="C72" t="s">
        <v>189</v>
      </c>
      <c r="D72" t="s">
        <v>32</v>
      </c>
      <c r="E72">
        <v>2021</v>
      </c>
    </row>
    <row r="73" spans="1:6" ht="34">
      <c r="A73">
        <v>37229630</v>
      </c>
      <c r="B73" s="1" t="s">
        <v>190</v>
      </c>
      <c r="C73" t="s">
        <v>191</v>
      </c>
      <c r="D73" t="s">
        <v>192</v>
      </c>
      <c r="E73">
        <v>2023</v>
      </c>
    </row>
    <row r="74" spans="1:6" ht="51">
      <c r="A74">
        <v>36949158</v>
      </c>
      <c r="B74" s="1" t="s">
        <v>193</v>
      </c>
      <c r="C74" t="s">
        <v>194</v>
      </c>
      <c r="D74" t="s">
        <v>85</v>
      </c>
      <c r="E74">
        <v>2023</v>
      </c>
    </row>
    <row r="75" spans="1:6" ht="51">
      <c r="A75">
        <v>37759214</v>
      </c>
      <c r="B75" s="1" t="s">
        <v>195</v>
      </c>
      <c r="C75" t="s">
        <v>196</v>
      </c>
      <c r="D75" t="s">
        <v>197</v>
      </c>
      <c r="E75">
        <v>2023</v>
      </c>
    </row>
    <row r="76" spans="1:6" ht="68">
      <c r="A76">
        <v>39965361</v>
      </c>
      <c r="B76" s="1" t="s">
        <v>198</v>
      </c>
      <c r="C76" t="s">
        <v>199</v>
      </c>
      <c r="D76" t="s">
        <v>200</v>
      </c>
      <c r="E76">
        <v>2025</v>
      </c>
    </row>
    <row r="77" spans="1:6" ht="51">
      <c r="A77">
        <v>37978231</v>
      </c>
      <c r="B77" s="1" t="s">
        <v>201</v>
      </c>
      <c r="C77" t="s">
        <v>202</v>
      </c>
      <c r="D77" t="s">
        <v>203</v>
      </c>
      <c r="E77">
        <v>2023</v>
      </c>
    </row>
    <row r="78" spans="1:6" ht="51">
      <c r="A78">
        <v>37037154</v>
      </c>
      <c r="B78" s="1" t="s">
        <v>204</v>
      </c>
      <c r="C78" t="s">
        <v>205</v>
      </c>
      <c r="D78" t="s">
        <v>206</v>
      </c>
      <c r="E78">
        <v>2023</v>
      </c>
    </row>
    <row r="79" spans="1:6" ht="68">
      <c r="A79">
        <v>38022507</v>
      </c>
      <c r="B79" s="1" t="s">
        <v>207</v>
      </c>
      <c r="C79" t="s">
        <v>208</v>
      </c>
      <c r="D79" t="s">
        <v>209</v>
      </c>
      <c r="E79">
        <v>2023</v>
      </c>
    </row>
    <row r="80" spans="1:6" ht="51">
      <c r="A80">
        <v>34354814</v>
      </c>
      <c r="B80" s="1" t="s">
        <v>210</v>
      </c>
      <c r="C80" t="s">
        <v>211</v>
      </c>
      <c r="D80" t="s">
        <v>212</v>
      </c>
      <c r="E80">
        <v>2021</v>
      </c>
    </row>
    <row r="81" spans="1:6" ht="51">
      <c r="A81">
        <v>36627639</v>
      </c>
      <c r="B81" s="1" t="s">
        <v>213</v>
      </c>
      <c r="C81" t="s">
        <v>214</v>
      </c>
      <c r="D81" t="s">
        <v>215</v>
      </c>
      <c r="E81">
        <v>2023</v>
      </c>
    </row>
    <row r="82" spans="1:6" ht="51">
      <c r="A82">
        <v>33108403</v>
      </c>
      <c r="B82" s="1" t="s">
        <v>216</v>
      </c>
      <c r="C82" t="s">
        <v>217</v>
      </c>
      <c r="D82" t="s">
        <v>159</v>
      </c>
      <c r="E82">
        <v>2020</v>
      </c>
    </row>
    <row r="83" spans="1:6" ht="51">
      <c r="A83">
        <v>38152017</v>
      </c>
      <c r="B83" s="1" t="s">
        <v>218</v>
      </c>
      <c r="C83" t="s">
        <v>219</v>
      </c>
      <c r="D83" t="s">
        <v>123</v>
      </c>
      <c r="E83">
        <v>2024</v>
      </c>
    </row>
    <row r="84" spans="1:6" ht="34">
      <c r="A84">
        <v>35603906</v>
      </c>
      <c r="B84" s="1" t="s">
        <v>220</v>
      </c>
      <c r="C84" t="s">
        <v>221</v>
      </c>
      <c r="D84" t="s">
        <v>222</v>
      </c>
      <c r="E84">
        <v>2022</v>
      </c>
    </row>
    <row r="85" spans="1:6" ht="51">
      <c r="A85">
        <v>33095447</v>
      </c>
      <c r="B85" s="1" t="s">
        <v>223</v>
      </c>
      <c r="C85" t="s">
        <v>224</v>
      </c>
      <c r="D85" t="s">
        <v>82</v>
      </c>
      <c r="E85">
        <v>2021</v>
      </c>
      <c r="F85">
        <v>1</v>
      </c>
    </row>
    <row r="86" spans="1:6" ht="68">
      <c r="A86">
        <v>34521993</v>
      </c>
      <c r="B86" s="1" t="s">
        <v>225</v>
      </c>
      <c r="C86" t="s">
        <v>226</v>
      </c>
      <c r="D86" t="s">
        <v>79</v>
      </c>
      <c r="E86">
        <v>2022</v>
      </c>
    </row>
    <row r="87" spans="1:6" ht="34">
      <c r="A87">
        <v>36688940</v>
      </c>
      <c r="B87" s="1" t="s">
        <v>227</v>
      </c>
      <c r="C87" t="s">
        <v>228</v>
      </c>
      <c r="D87" t="s">
        <v>142</v>
      </c>
      <c r="E87">
        <v>2023</v>
      </c>
    </row>
    <row r="88" spans="1:6" ht="68">
      <c r="A88">
        <v>35980750</v>
      </c>
      <c r="B88" s="1" t="s">
        <v>229</v>
      </c>
      <c r="C88" t="s">
        <v>230</v>
      </c>
      <c r="D88" t="s">
        <v>231</v>
      </c>
      <c r="E88">
        <v>2022</v>
      </c>
    </row>
    <row r="89" spans="1:6" ht="51">
      <c r="A89">
        <v>34946941</v>
      </c>
      <c r="B89" s="1" t="s">
        <v>232</v>
      </c>
      <c r="C89" t="s">
        <v>233</v>
      </c>
      <c r="D89" t="s">
        <v>93</v>
      </c>
      <c r="E89">
        <v>2021</v>
      </c>
    </row>
    <row r="90" spans="1:6" ht="51">
      <c r="A90">
        <v>31646670</v>
      </c>
      <c r="B90" s="1" t="s">
        <v>234</v>
      </c>
      <c r="C90" t="s">
        <v>235</v>
      </c>
      <c r="D90" t="s">
        <v>236</v>
      </c>
      <c r="E90">
        <v>2020</v>
      </c>
    </row>
    <row r="91" spans="1:6" ht="51">
      <c r="A91">
        <v>34545573</v>
      </c>
      <c r="B91" s="1" t="s">
        <v>237</v>
      </c>
      <c r="C91" t="s">
        <v>238</v>
      </c>
      <c r="D91" t="s">
        <v>239</v>
      </c>
      <c r="E91">
        <v>2022</v>
      </c>
    </row>
    <row r="92" spans="1:6" ht="51">
      <c r="A92">
        <v>39333970</v>
      </c>
      <c r="B92" s="1" t="s">
        <v>240</v>
      </c>
      <c r="C92" t="s">
        <v>241</v>
      </c>
      <c r="D92" t="s">
        <v>242</v>
      </c>
      <c r="E92">
        <v>2024</v>
      </c>
    </row>
    <row r="93" spans="1:6" ht="68">
      <c r="A93">
        <v>34134020</v>
      </c>
      <c r="B93" s="1" t="s">
        <v>243</v>
      </c>
      <c r="C93" t="s">
        <v>244</v>
      </c>
      <c r="D93" t="s">
        <v>245</v>
      </c>
      <c r="E93">
        <v>2021</v>
      </c>
    </row>
    <row r="94" spans="1:6" ht="51">
      <c r="A94">
        <v>34565606</v>
      </c>
      <c r="B94" s="1" t="s">
        <v>246</v>
      </c>
      <c r="C94" t="s">
        <v>247</v>
      </c>
      <c r="D94" t="s">
        <v>248</v>
      </c>
      <c r="E94">
        <v>2022</v>
      </c>
    </row>
    <row r="95" spans="1:6" ht="51">
      <c r="A95">
        <v>32029730</v>
      </c>
      <c r="B95" s="1" t="s">
        <v>249</v>
      </c>
      <c r="C95" t="s">
        <v>250</v>
      </c>
      <c r="D95" t="s">
        <v>43</v>
      </c>
      <c r="E95">
        <v>2020</v>
      </c>
    </row>
    <row r="96" spans="1:6" ht="68">
      <c r="A96">
        <v>35064937</v>
      </c>
      <c r="B96" s="1" t="s">
        <v>251</v>
      </c>
      <c r="C96" t="s">
        <v>252</v>
      </c>
      <c r="D96" t="s">
        <v>82</v>
      </c>
      <c r="E96">
        <v>2022</v>
      </c>
    </row>
    <row r="97" spans="1:5" ht="68">
      <c r="A97">
        <v>36463540</v>
      </c>
      <c r="B97" s="1" t="s">
        <v>253</v>
      </c>
      <c r="C97" t="s">
        <v>254</v>
      </c>
      <c r="D97" t="s">
        <v>255</v>
      </c>
      <c r="E97">
        <v>2023</v>
      </c>
    </row>
    <row r="98" spans="1:5" ht="51">
      <c r="A98">
        <v>32398770</v>
      </c>
      <c r="B98" s="1" t="s">
        <v>256</v>
      </c>
      <c r="C98" t="s">
        <v>257</v>
      </c>
      <c r="D98" t="s">
        <v>29</v>
      </c>
      <c r="E98">
        <v>2020</v>
      </c>
    </row>
    <row r="99" spans="1:5" ht="17">
      <c r="A99">
        <v>33958773</v>
      </c>
      <c r="B99" s="1" t="s">
        <v>258</v>
      </c>
      <c r="C99" t="s">
        <v>259</v>
      </c>
      <c r="D99" t="s">
        <v>90</v>
      </c>
      <c r="E99">
        <v>2021</v>
      </c>
    </row>
    <row r="100" spans="1:5" ht="68">
      <c r="A100">
        <v>38347632</v>
      </c>
      <c r="B100" s="1" t="s">
        <v>260</v>
      </c>
      <c r="C100" t="s">
        <v>261</v>
      </c>
      <c r="D100" t="s">
        <v>262</v>
      </c>
      <c r="E100">
        <v>2024</v>
      </c>
    </row>
    <row r="101" spans="1:5" ht="51">
      <c r="A101">
        <v>34148064</v>
      </c>
      <c r="B101" s="1" t="s">
        <v>263</v>
      </c>
      <c r="C101" t="s">
        <v>264</v>
      </c>
      <c r="D101" t="s">
        <v>79</v>
      </c>
      <c r="E101">
        <v>2021</v>
      </c>
    </row>
    <row r="102" spans="1:5" ht="34">
      <c r="A102">
        <v>34327334</v>
      </c>
      <c r="B102" s="1" t="s">
        <v>265</v>
      </c>
      <c r="C102" t="s">
        <v>266</v>
      </c>
      <c r="D102" t="s">
        <v>35</v>
      </c>
      <c r="E102">
        <v>2020</v>
      </c>
    </row>
    <row r="103" spans="1:5" ht="51">
      <c r="A103">
        <v>37042117</v>
      </c>
      <c r="B103" s="1" t="s">
        <v>267</v>
      </c>
      <c r="C103" t="s">
        <v>268</v>
      </c>
      <c r="D103" t="s">
        <v>269</v>
      </c>
      <c r="E103">
        <v>2024</v>
      </c>
    </row>
    <row r="104" spans="1:5" ht="51">
      <c r="A104">
        <v>39150521</v>
      </c>
      <c r="B104" s="1" t="s">
        <v>270</v>
      </c>
      <c r="C104" t="s">
        <v>271</v>
      </c>
      <c r="D104" t="s">
        <v>142</v>
      </c>
      <c r="E104">
        <v>2025</v>
      </c>
    </row>
    <row r="105" spans="1:5" ht="51">
      <c r="A105">
        <v>35369652</v>
      </c>
      <c r="B105" s="1" t="s">
        <v>272</v>
      </c>
      <c r="C105" t="s">
        <v>273</v>
      </c>
      <c r="D105" t="s">
        <v>35</v>
      </c>
      <c r="E105">
        <v>2021</v>
      </c>
    </row>
    <row r="106" spans="1:5" ht="34">
      <c r="A106">
        <v>38906652</v>
      </c>
      <c r="B106" s="1" t="s">
        <v>274</v>
      </c>
      <c r="C106" t="s">
        <v>275</v>
      </c>
      <c r="D106" t="s">
        <v>32</v>
      </c>
      <c r="E106">
        <v>2024</v>
      </c>
    </row>
    <row r="107" spans="1:5" ht="51">
      <c r="A107">
        <v>35244702</v>
      </c>
      <c r="B107" s="1" t="s">
        <v>276</v>
      </c>
      <c r="C107" t="s">
        <v>277</v>
      </c>
      <c r="D107" t="s">
        <v>278</v>
      </c>
      <c r="E107">
        <v>2022</v>
      </c>
    </row>
    <row r="108" spans="1:5" ht="51">
      <c r="A108">
        <v>39363241</v>
      </c>
      <c r="B108" s="1" t="s">
        <v>279</v>
      </c>
      <c r="C108" t="s">
        <v>280</v>
      </c>
      <c r="D108" t="s">
        <v>281</v>
      </c>
      <c r="E108">
        <v>2024</v>
      </c>
    </row>
    <row r="109" spans="1:5" ht="34">
      <c r="A109">
        <v>32299846</v>
      </c>
      <c r="B109" s="1" t="s">
        <v>282</v>
      </c>
      <c r="C109" t="s">
        <v>283</v>
      </c>
      <c r="D109" t="s">
        <v>68</v>
      </c>
      <c r="E109">
        <v>2020</v>
      </c>
    </row>
    <row r="110" spans="1:5" ht="51">
      <c r="A110">
        <v>32779812</v>
      </c>
      <c r="B110" s="1" t="s">
        <v>284</v>
      </c>
      <c r="C110" t="s">
        <v>285</v>
      </c>
      <c r="D110" t="s">
        <v>286</v>
      </c>
      <c r="E110">
        <v>2020</v>
      </c>
    </row>
    <row r="111" spans="1:5" ht="51">
      <c r="A111">
        <v>39626636</v>
      </c>
      <c r="B111" s="1" t="s">
        <v>287</v>
      </c>
      <c r="C111" t="s">
        <v>288</v>
      </c>
      <c r="D111" t="s">
        <v>126</v>
      </c>
      <c r="E111">
        <v>2025</v>
      </c>
    </row>
    <row r="112" spans="1:5" ht="68">
      <c r="A112">
        <v>38932496</v>
      </c>
      <c r="B112" s="1" t="s">
        <v>289</v>
      </c>
      <c r="C112" t="s">
        <v>290</v>
      </c>
      <c r="D112" t="s">
        <v>291</v>
      </c>
      <c r="E112">
        <v>2024</v>
      </c>
    </row>
    <row r="113" spans="1:6" ht="68">
      <c r="A113">
        <v>33407230</v>
      </c>
      <c r="B113" s="1" t="s">
        <v>292</v>
      </c>
      <c r="C113" t="s">
        <v>293</v>
      </c>
      <c r="D113" t="s">
        <v>60</v>
      </c>
      <c r="E113">
        <v>2021</v>
      </c>
    </row>
    <row r="114" spans="1:6" ht="34">
      <c r="A114">
        <v>37864521</v>
      </c>
      <c r="B114" s="1" t="s">
        <v>294</v>
      </c>
      <c r="C114" t="s">
        <v>295</v>
      </c>
      <c r="D114" t="s">
        <v>145</v>
      </c>
      <c r="E114">
        <v>2024</v>
      </c>
    </row>
    <row r="115" spans="1:6" ht="68">
      <c r="A115">
        <v>33693791</v>
      </c>
      <c r="B115" s="1" t="s">
        <v>296</v>
      </c>
      <c r="C115" t="s">
        <v>297</v>
      </c>
      <c r="D115" t="s">
        <v>192</v>
      </c>
      <c r="E115">
        <v>2021</v>
      </c>
    </row>
    <row r="116" spans="1:6" ht="51">
      <c r="A116">
        <v>32969247</v>
      </c>
      <c r="B116" s="1" t="s">
        <v>298</v>
      </c>
      <c r="C116" t="s">
        <v>299</v>
      </c>
      <c r="D116" t="s">
        <v>300</v>
      </c>
      <c r="E116">
        <v>2020</v>
      </c>
    </row>
    <row r="117" spans="1:6" ht="68">
      <c r="A117">
        <v>35429337</v>
      </c>
      <c r="B117" s="1" t="s">
        <v>301</v>
      </c>
      <c r="C117" t="s">
        <v>302</v>
      </c>
      <c r="D117" t="s">
        <v>222</v>
      </c>
      <c r="E117">
        <v>2022</v>
      </c>
    </row>
    <row r="118" spans="1:6" ht="51">
      <c r="A118">
        <v>38547852</v>
      </c>
      <c r="B118" s="1" t="s">
        <v>303</v>
      </c>
      <c r="C118" t="s">
        <v>304</v>
      </c>
      <c r="D118" t="s">
        <v>305</v>
      </c>
      <c r="E118">
        <v>2024</v>
      </c>
    </row>
    <row r="119" spans="1:6" ht="68">
      <c r="A119">
        <v>39143076</v>
      </c>
      <c r="B119" s="1" t="s">
        <v>306</v>
      </c>
      <c r="C119" t="s">
        <v>307</v>
      </c>
      <c r="D119" t="s">
        <v>308</v>
      </c>
      <c r="E119">
        <v>2024</v>
      </c>
    </row>
    <row r="120" spans="1:6" ht="68">
      <c r="A120">
        <v>37228720</v>
      </c>
      <c r="B120" s="1" t="s">
        <v>309</v>
      </c>
      <c r="C120" t="s">
        <v>310</v>
      </c>
      <c r="D120" t="s">
        <v>176</v>
      </c>
      <c r="E120">
        <v>2023</v>
      </c>
    </row>
    <row r="121" spans="1:6" ht="34">
      <c r="A121">
        <v>34628264</v>
      </c>
      <c r="B121" s="1" t="s">
        <v>311</v>
      </c>
      <c r="C121" t="s">
        <v>312</v>
      </c>
      <c r="D121" t="s">
        <v>313</v>
      </c>
      <c r="E121">
        <v>2021</v>
      </c>
    </row>
    <row r="122" spans="1:6" ht="68">
      <c r="A122">
        <v>36547129</v>
      </c>
      <c r="B122" s="1" t="s">
        <v>314</v>
      </c>
      <c r="C122" t="s">
        <v>315</v>
      </c>
      <c r="D122" t="s">
        <v>316</v>
      </c>
      <c r="E122">
        <v>2022</v>
      </c>
    </row>
    <row r="123" spans="1:6" ht="51">
      <c r="A123">
        <v>40533884</v>
      </c>
      <c r="B123" s="1" t="s">
        <v>317</v>
      </c>
      <c r="C123" t="s">
        <v>318</v>
      </c>
      <c r="D123" t="s">
        <v>82</v>
      </c>
      <c r="E123">
        <v>2026</v>
      </c>
      <c r="F123">
        <v>1</v>
      </c>
    </row>
    <row r="124" spans="1:6" ht="68">
      <c r="A124">
        <v>34923958</v>
      </c>
      <c r="B124" s="1" t="s">
        <v>319</v>
      </c>
      <c r="C124" t="s">
        <v>320</v>
      </c>
      <c r="D124" t="s">
        <v>60</v>
      </c>
      <c r="E124">
        <v>2021</v>
      </c>
    </row>
    <row r="125" spans="1:6" ht="34">
      <c r="A125">
        <v>39832277</v>
      </c>
      <c r="B125" s="1" t="s">
        <v>321</v>
      </c>
      <c r="C125" t="s">
        <v>322</v>
      </c>
      <c r="D125" t="s">
        <v>323</v>
      </c>
      <c r="E125">
        <v>2025</v>
      </c>
    </row>
    <row r="126" spans="1:6" ht="51">
      <c r="A126">
        <v>31999492</v>
      </c>
      <c r="B126" s="1" t="s">
        <v>324</v>
      </c>
      <c r="C126" t="s">
        <v>325</v>
      </c>
      <c r="D126" t="s">
        <v>326</v>
      </c>
      <c r="E126">
        <v>2020</v>
      </c>
    </row>
    <row r="127" spans="1:6" ht="34">
      <c r="A127">
        <v>32723786</v>
      </c>
      <c r="B127" s="1" t="s">
        <v>327</v>
      </c>
      <c r="C127" t="s">
        <v>328</v>
      </c>
      <c r="D127" t="s">
        <v>329</v>
      </c>
      <c r="E127">
        <v>2020</v>
      </c>
    </row>
    <row r="128" spans="1:6" ht="68">
      <c r="A128">
        <v>33107440</v>
      </c>
      <c r="B128" s="1" t="s">
        <v>330</v>
      </c>
      <c r="C128" t="s">
        <v>331</v>
      </c>
      <c r="D128" t="s">
        <v>332</v>
      </c>
      <c r="E128">
        <v>2020</v>
      </c>
    </row>
    <row r="129" spans="1:5" ht="102">
      <c r="A129">
        <v>30953057</v>
      </c>
      <c r="B129" s="1" t="s">
        <v>333</v>
      </c>
      <c r="C129" t="s">
        <v>334</v>
      </c>
      <c r="D129" t="s">
        <v>335</v>
      </c>
      <c r="E129">
        <v>2020</v>
      </c>
    </row>
    <row r="130" spans="1:5" ht="68">
      <c r="A130">
        <v>37468236</v>
      </c>
      <c r="B130" s="1" t="s">
        <v>336</v>
      </c>
      <c r="C130" t="s">
        <v>337</v>
      </c>
      <c r="D130" t="s">
        <v>338</v>
      </c>
      <c r="E130">
        <v>2023</v>
      </c>
    </row>
    <row r="131" spans="1:5" ht="34">
      <c r="A131">
        <v>32803290</v>
      </c>
      <c r="B131" s="1" t="s">
        <v>339</v>
      </c>
      <c r="C131" t="s">
        <v>340</v>
      </c>
      <c r="D131" t="s">
        <v>341</v>
      </c>
      <c r="E131">
        <v>2021</v>
      </c>
    </row>
    <row r="132" spans="1:5" ht="85">
      <c r="A132">
        <v>38609702</v>
      </c>
      <c r="B132" s="1" t="s">
        <v>342</v>
      </c>
      <c r="C132" t="s">
        <v>343</v>
      </c>
      <c r="D132" t="s">
        <v>344</v>
      </c>
      <c r="E132">
        <v>2024</v>
      </c>
    </row>
    <row r="133" spans="1:5" ht="68">
      <c r="A133">
        <v>32600054</v>
      </c>
      <c r="B133" s="1" t="s">
        <v>345</v>
      </c>
      <c r="C133" t="s">
        <v>346</v>
      </c>
      <c r="D133" t="s">
        <v>347</v>
      </c>
      <c r="E133">
        <v>2020</v>
      </c>
    </row>
    <row r="134" spans="1:5" ht="34">
      <c r="A134">
        <v>32828237</v>
      </c>
      <c r="B134" s="1" t="s">
        <v>348</v>
      </c>
      <c r="C134" t="s">
        <v>349</v>
      </c>
      <c r="D134" t="s">
        <v>32</v>
      </c>
      <c r="E134">
        <v>2020</v>
      </c>
    </row>
    <row r="135" spans="1:5" ht="85">
      <c r="A135">
        <v>39107157</v>
      </c>
      <c r="B135" s="1" t="s">
        <v>350</v>
      </c>
      <c r="C135" t="s">
        <v>351</v>
      </c>
      <c r="D135" t="s">
        <v>352</v>
      </c>
      <c r="E135">
        <v>2024</v>
      </c>
    </row>
    <row r="136" spans="1:5" ht="34">
      <c r="A136">
        <v>33534524</v>
      </c>
      <c r="B136" s="1" t="s">
        <v>353</v>
      </c>
      <c r="C136" t="s">
        <v>354</v>
      </c>
      <c r="D136" t="s">
        <v>104</v>
      </c>
      <c r="E136">
        <v>2021</v>
      </c>
    </row>
    <row r="137" spans="1:5" ht="68">
      <c r="A137">
        <v>34197840</v>
      </c>
      <c r="B137" s="1" t="s">
        <v>355</v>
      </c>
      <c r="C137" t="s">
        <v>356</v>
      </c>
      <c r="D137" t="s">
        <v>32</v>
      </c>
      <c r="E137">
        <v>2021</v>
      </c>
    </row>
    <row r="138" spans="1:5" ht="51">
      <c r="A138">
        <v>32334565</v>
      </c>
      <c r="B138" s="1" t="s">
        <v>357</v>
      </c>
      <c r="C138" t="s">
        <v>358</v>
      </c>
      <c r="D138" t="s">
        <v>60</v>
      </c>
      <c r="E138">
        <v>2020</v>
      </c>
    </row>
    <row r="139" spans="1:5" ht="51">
      <c r="A139">
        <v>36782285</v>
      </c>
      <c r="B139" s="1" t="s">
        <v>359</v>
      </c>
      <c r="C139" t="s">
        <v>360</v>
      </c>
      <c r="D139" t="s">
        <v>361</v>
      </c>
      <c r="E139">
        <v>2023</v>
      </c>
    </row>
    <row r="140" spans="1:5" ht="68">
      <c r="A140">
        <v>35314744</v>
      </c>
      <c r="B140" s="1" t="s">
        <v>362</v>
      </c>
      <c r="C140" t="s">
        <v>363</v>
      </c>
      <c r="D140" t="s">
        <v>85</v>
      </c>
      <c r="E140">
        <v>2022</v>
      </c>
    </row>
    <row r="141" spans="1:5" ht="51">
      <c r="A141">
        <v>38574989</v>
      </c>
      <c r="B141" s="1" t="s">
        <v>364</v>
      </c>
      <c r="C141" t="s">
        <v>365</v>
      </c>
      <c r="D141" t="s">
        <v>366</v>
      </c>
      <c r="E141">
        <v>2024</v>
      </c>
    </row>
    <row r="142" spans="1:5" ht="51">
      <c r="A142">
        <v>31852011</v>
      </c>
      <c r="B142" s="1" t="s">
        <v>367</v>
      </c>
      <c r="C142" t="s">
        <v>368</v>
      </c>
      <c r="D142" t="s">
        <v>369</v>
      </c>
      <c r="E142">
        <v>2020</v>
      </c>
    </row>
    <row r="143" spans="1:5" ht="51">
      <c r="A143">
        <v>33107222</v>
      </c>
      <c r="B143" s="1" t="s">
        <v>370</v>
      </c>
      <c r="C143" t="s">
        <v>371</v>
      </c>
      <c r="D143" t="s">
        <v>372</v>
      </c>
      <c r="E143">
        <v>2021</v>
      </c>
    </row>
    <row r="144" spans="1:5" ht="51">
      <c r="A144">
        <v>31992108</v>
      </c>
      <c r="B144" s="1" t="s">
        <v>373</v>
      </c>
      <c r="C144" t="s">
        <v>374</v>
      </c>
      <c r="D144" t="s">
        <v>375</v>
      </c>
      <c r="E144">
        <v>2020</v>
      </c>
    </row>
    <row r="145" spans="1:5" ht="51">
      <c r="A145">
        <v>32661119</v>
      </c>
      <c r="B145" s="1" t="s">
        <v>376</v>
      </c>
      <c r="C145" t="s">
        <v>377</v>
      </c>
      <c r="D145" t="s">
        <v>378</v>
      </c>
      <c r="E145">
        <v>2020</v>
      </c>
    </row>
    <row r="146" spans="1:5" ht="51">
      <c r="A146">
        <v>38678107</v>
      </c>
      <c r="B146" s="1" t="s">
        <v>379</v>
      </c>
      <c r="C146" t="s">
        <v>380</v>
      </c>
      <c r="D146" t="s">
        <v>85</v>
      </c>
      <c r="E146">
        <v>2024</v>
      </c>
    </row>
    <row r="147" spans="1:5" ht="34">
      <c r="A147">
        <v>37574436</v>
      </c>
      <c r="B147" s="1" t="s">
        <v>381</v>
      </c>
      <c r="C147" t="s">
        <v>382</v>
      </c>
      <c r="D147" t="s">
        <v>352</v>
      </c>
      <c r="E147">
        <v>2024</v>
      </c>
    </row>
    <row r="148" spans="1:5" ht="68">
      <c r="A148">
        <v>34237133</v>
      </c>
      <c r="B148" s="1" t="s">
        <v>383</v>
      </c>
      <c r="C148" t="s">
        <v>384</v>
      </c>
      <c r="D148" t="s">
        <v>385</v>
      </c>
      <c r="E148">
        <v>2021</v>
      </c>
    </row>
    <row r="149" spans="1:5" ht="34">
      <c r="A149">
        <v>33087822</v>
      </c>
      <c r="B149" s="1" t="s">
        <v>386</v>
      </c>
      <c r="C149" t="s">
        <v>387</v>
      </c>
      <c r="D149" t="s">
        <v>85</v>
      </c>
      <c r="E149">
        <v>2020</v>
      </c>
    </row>
    <row r="150" spans="1:5" ht="68">
      <c r="A150">
        <v>33861738</v>
      </c>
      <c r="B150" s="1" t="s">
        <v>388</v>
      </c>
      <c r="C150" t="s">
        <v>389</v>
      </c>
      <c r="D150" t="s">
        <v>159</v>
      </c>
      <c r="E150">
        <v>2021</v>
      </c>
    </row>
    <row r="151" spans="1:5" ht="51">
      <c r="A151">
        <v>33048330</v>
      </c>
      <c r="B151" s="1" t="s">
        <v>390</v>
      </c>
      <c r="C151" t="s">
        <v>391</v>
      </c>
      <c r="D151" t="s">
        <v>392</v>
      </c>
      <c r="E151">
        <v>2021</v>
      </c>
    </row>
    <row r="152" spans="1:5" ht="68">
      <c r="A152">
        <v>32673684</v>
      </c>
      <c r="B152" s="1" t="s">
        <v>393</v>
      </c>
      <c r="C152" t="s">
        <v>394</v>
      </c>
      <c r="D152" t="s">
        <v>395</v>
      </c>
      <c r="E152">
        <v>2020</v>
      </c>
    </row>
    <row r="153" spans="1:5" ht="51">
      <c r="A153">
        <v>35977080</v>
      </c>
      <c r="B153" s="1" t="s">
        <v>396</v>
      </c>
      <c r="C153" t="s">
        <v>397</v>
      </c>
      <c r="D153" t="s">
        <v>398</v>
      </c>
      <c r="E153">
        <v>2022</v>
      </c>
    </row>
    <row r="154" spans="1:5" ht="85">
      <c r="A154">
        <v>38886300</v>
      </c>
      <c r="B154" s="1" t="s">
        <v>399</v>
      </c>
      <c r="C154" t="s">
        <v>400</v>
      </c>
      <c r="D154" t="s">
        <v>401</v>
      </c>
      <c r="E154">
        <v>2024</v>
      </c>
    </row>
    <row r="155" spans="1:5" ht="68">
      <c r="A155">
        <v>34358382</v>
      </c>
      <c r="B155" s="1" t="s">
        <v>402</v>
      </c>
      <c r="C155" t="s">
        <v>403</v>
      </c>
      <c r="D155" t="s">
        <v>404</v>
      </c>
      <c r="E155">
        <v>2021</v>
      </c>
    </row>
    <row r="156" spans="1:5" ht="51">
      <c r="A156">
        <v>34654685</v>
      </c>
      <c r="B156" s="1" t="s">
        <v>405</v>
      </c>
      <c r="C156" t="s">
        <v>406</v>
      </c>
      <c r="D156" t="s">
        <v>407</v>
      </c>
      <c r="E156">
        <v>2021</v>
      </c>
    </row>
    <row r="157" spans="1:5" ht="51">
      <c r="A157">
        <v>32176594</v>
      </c>
      <c r="B157" s="1" t="s">
        <v>408</v>
      </c>
      <c r="C157" t="s">
        <v>409</v>
      </c>
      <c r="D157" t="s">
        <v>96</v>
      </c>
      <c r="E157">
        <v>2020</v>
      </c>
    </row>
    <row r="158" spans="1:5" ht="51">
      <c r="A158">
        <v>39913368</v>
      </c>
      <c r="B158" s="1" t="s">
        <v>410</v>
      </c>
      <c r="C158" t="s">
        <v>411</v>
      </c>
      <c r="D158" t="s">
        <v>159</v>
      </c>
      <c r="E158">
        <v>2025</v>
      </c>
    </row>
    <row r="159" spans="1:5" ht="51">
      <c r="A159">
        <v>37349938</v>
      </c>
      <c r="B159" s="1" t="s">
        <v>412</v>
      </c>
      <c r="C159" t="s">
        <v>413</v>
      </c>
      <c r="D159" t="s">
        <v>82</v>
      </c>
      <c r="E159">
        <v>2023</v>
      </c>
    </row>
    <row r="160" spans="1:5" ht="68">
      <c r="A160">
        <v>31764220</v>
      </c>
      <c r="B160" s="1" t="s">
        <v>414</v>
      </c>
      <c r="C160" t="s">
        <v>415</v>
      </c>
      <c r="D160" t="s">
        <v>231</v>
      </c>
      <c r="E160">
        <v>2020</v>
      </c>
    </row>
    <row r="161" spans="1:5" ht="34">
      <c r="A161">
        <v>36253912</v>
      </c>
      <c r="B161" s="1" t="s">
        <v>416</v>
      </c>
      <c r="C161" t="s">
        <v>417</v>
      </c>
      <c r="D161" t="s">
        <v>104</v>
      </c>
      <c r="E161">
        <v>2023</v>
      </c>
    </row>
    <row r="162" spans="1:5" ht="68">
      <c r="A162">
        <v>35763031</v>
      </c>
      <c r="B162" s="1" t="s">
        <v>418</v>
      </c>
      <c r="C162" t="s">
        <v>419</v>
      </c>
      <c r="D162" t="s">
        <v>420</v>
      </c>
      <c r="E162">
        <v>2022</v>
      </c>
    </row>
    <row r="163" spans="1:5" ht="85">
      <c r="A163">
        <v>35655039</v>
      </c>
      <c r="B163" s="1" t="s">
        <v>421</v>
      </c>
      <c r="C163" t="s">
        <v>422</v>
      </c>
      <c r="D163" t="s">
        <v>142</v>
      </c>
      <c r="E163">
        <v>2023</v>
      </c>
    </row>
    <row r="164" spans="1:5" ht="51">
      <c r="A164">
        <v>35264217</v>
      </c>
      <c r="B164" s="1" t="s">
        <v>423</v>
      </c>
      <c r="C164" t="s">
        <v>424</v>
      </c>
      <c r="D164" t="s">
        <v>425</v>
      </c>
      <c r="E164">
        <v>2022</v>
      </c>
    </row>
    <row r="165" spans="1:5" ht="51">
      <c r="A165">
        <v>33111320</v>
      </c>
      <c r="B165" s="1" t="s">
        <v>426</v>
      </c>
      <c r="C165" t="s">
        <v>427</v>
      </c>
      <c r="D165" t="s">
        <v>82</v>
      </c>
      <c r="E165">
        <v>2021</v>
      </c>
    </row>
    <row r="166" spans="1:5" ht="68">
      <c r="A166">
        <v>32968206</v>
      </c>
      <c r="B166" s="1" t="s">
        <v>428</v>
      </c>
      <c r="C166" t="s">
        <v>429</v>
      </c>
      <c r="D166" t="s">
        <v>167</v>
      </c>
      <c r="E166">
        <v>2020</v>
      </c>
    </row>
    <row r="167" spans="1:5" ht="51">
      <c r="A167">
        <v>31513279</v>
      </c>
      <c r="B167" s="1" t="s">
        <v>430</v>
      </c>
      <c r="C167" t="s">
        <v>431</v>
      </c>
      <c r="D167" t="s">
        <v>432</v>
      </c>
      <c r="E167">
        <v>2020</v>
      </c>
    </row>
    <row r="168" spans="1:5" ht="85">
      <c r="A168">
        <v>37358729</v>
      </c>
      <c r="B168" s="1" t="s">
        <v>433</v>
      </c>
      <c r="C168" t="s">
        <v>434</v>
      </c>
      <c r="D168" t="s">
        <v>24</v>
      </c>
      <c r="E168">
        <v>2023</v>
      </c>
    </row>
    <row r="169" spans="1:5" ht="51">
      <c r="A169">
        <v>35017463</v>
      </c>
      <c r="B169" s="1" t="s">
        <v>435</v>
      </c>
      <c r="C169" t="s">
        <v>436</v>
      </c>
      <c r="D169" t="s">
        <v>437</v>
      </c>
      <c r="E169">
        <v>2022</v>
      </c>
    </row>
    <row r="170" spans="1:5" ht="51">
      <c r="A170">
        <v>38032814</v>
      </c>
      <c r="B170" s="1" t="s">
        <v>438</v>
      </c>
      <c r="C170" t="s">
        <v>439</v>
      </c>
      <c r="D170" t="s">
        <v>35</v>
      </c>
      <c r="E170">
        <v>2023</v>
      </c>
    </row>
    <row r="171" spans="1:5" ht="51">
      <c r="A171">
        <v>32060504</v>
      </c>
      <c r="B171" s="1" t="s">
        <v>440</v>
      </c>
      <c r="C171" t="s">
        <v>441</v>
      </c>
      <c r="D171" t="s">
        <v>442</v>
      </c>
      <c r="E171">
        <v>2020</v>
      </c>
    </row>
    <row r="172" spans="1:5" ht="51">
      <c r="A172">
        <v>34980496</v>
      </c>
      <c r="B172" s="1" t="s">
        <v>443</v>
      </c>
      <c r="C172" t="s">
        <v>444</v>
      </c>
      <c r="D172" t="s">
        <v>445</v>
      </c>
      <c r="E172">
        <v>2022</v>
      </c>
    </row>
    <row r="173" spans="1:5" ht="68">
      <c r="A173">
        <v>38327067</v>
      </c>
      <c r="B173" s="1" t="s">
        <v>446</v>
      </c>
      <c r="C173" t="s">
        <v>447</v>
      </c>
      <c r="D173" t="s">
        <v>448</v>
      </c>
      <c r="E173">
        <v>2024</v>
      </c>
    </row>
    <row r="174" spans="1:5" ht="51">
      <c r="A174">
        <v>36292688</v>
      </c>
      <c r="B174" s="1" t="s">
        <v>449</v>
      </c>
      <c r="C174" t="s">
        <v>450</v>
      </c>
      <c r="D174" t="s">
        <v>93</v>
      </c>
      <c r="E174">
        <v>2022</v>
      </c>
    </row>
    <row r="175" spans="1:5" ht="51">
      <c r="A175">
        <v>32659871</v>
      </c>
      <c r="B175" s="1" t="s">
        <v>451</v>
      </c>
      <c r="C175" t="s">
        <v>452</v>
      </c>
      <c r="D175" t="s">
        <v>123</v>
      </c>
      <c r="E175">
        <v>2021</v>
      </c>
    </row>
    <row r="176" spans="1:5" ht="17">
      <c r="A176">
        <v>32358593</v>
      </c>
      <c r="B176" s="1" t="s">
        <v>453</v>
      </c>
      <c r="C176" t="s">
        <v>454</v>
      </c>
      <c r="D176" t="s">
        <v>90</v>
      </c>
      <c r="E176">
        <v>2020</v>
      </c>
    </row>
    <row r="177" spans="1:5" ht="51">
      <c r="A177">
        <v>38752978</v>
      </c>
      <c r="B177" s="1" t="s">
        <v>455</v>
      </c>
      <c r="C177" t="s">
        <v>456</v>
      </c>
      <c r="D177" t="s">
        <v>457</v>
      </c>
      <c r="E177">
        <v>2024</v>
      </c>
    </row>
    <row r="178" spans="1:5" ht="34">
      <c r="A178">
        <v>33275263</v>
      </c>
      <c r="B178" s="1" t="s">
        <v>458</v>
      </c>
      <c r="C178" t="s">
        <v>459</v>
      </c>
      <c r="D178" t="s">
        <v>460</v>
      </c>
      <c r="E178">
        <v>2020</v>
      </c>
    </row>
    <row r="179" spans="1:5" ht="51">
      <c r="A179">
        <v>32211780</v>
      </c>
      <c r="B179" s="1" t="s">
        <v>461</v>
      </c>
      <c r="C179" t="s">
        <v>462</v>
      </c>
      <c r="D179" t="s">
        <v>323</v>
      </c>
      <c r="E179">
        <v>2020</v>
      </c>
    </row>
    <row r="180" spans="1:5" ht="51">
      <c r="A180">
        <v>34558169</v>
      </c>
      <c r="B180" s="1" t="s">
        <v>463</v>
      </c>
      <c r="C180" t="s">
        <v>464</v>
      </c>
      <c r="D180" t="s">
        <v>465</v>
      </c>
      <c r="E180">
        <v>2022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CE44A-5414-404E-A419-00AC61B8F7E5}">
  <sheetPr filterMode="1"/>
  <dimension ref="A1:N180"/>
  <sheetViews>
    <sheetView zoomScale="130" zoomScaleNormal="130" workbookViewId="0">
      <selection activeCell="D39" sqref="D39"/>
    </sheetView>
  </sheetViews>
  <sheetFormatPr baseColWidth="10" defaultRowHeight="16"/>
  <cols>
    <col min="2" max="2" width="50.33203125" style="1" customWidth="1"/>
    <col min="3" max="3" width="24.6640625" customWidth="1"/>
    <col min="4" max="4" width="25.1640625" customWidth="1"/>
    <col min="5" max="5" width="15.1640625" customWidth="1"/>
    <col min="6" max="6" width="15.6640625" customWidth="1"/>
    <col min="8" max="9" width="18.5" customWidth="1"/>
    <col min="10" max="10" width="30.83203125" customWidth="1"/>
    <col min="11" max="11" width="27.83203125" customWidth="1"/>
    <col min="12" max="12" width="60" style="1" customWidth="1"/>
    <col min="13" max="13" width="69.83203125" style="1" customWidth="1"/>
    <col min="14" max="14" width="16.1640625" customWidth="1"/>
  </cols>
  <sheetData>
    <row r="1" spans="1:14" ht="17">
      <c r="A1" t="s">
        <v>0</v>
      </c>
      <c r="B1" s="1" t="s">
        <v>1</v>
      </c>
      <c r="C1" t="s">
        <v>2</v>
      </c>
      <c r="D1" t="s">
        <v>3</v>
      </c>
      <c r="E1" t="s">
        <v>4</v>
      </c>
      <c r="F1" t="s">
        <v>466</v>
      </c>
      <c r="G1" t="s">
        <v>467</v>
      </c>
      <c r="H1" t="s">
        <v>468</v>
      </c>
      <c r="I1" t="s">
        <v>474</v>
      </c>
      <c r="J1" t="s">
        <v>469</v>
      </c>
      <c r="K1" t="s">
        <v>470</v>
      </c>
      <c r="L1" s="1" t="s">
        <v>471</v>
      </c>
      <c r="M1" s="1" t="s">
        <v>481</v>
      </c>
      <c r="N1" t="s">
        <v>472</v>
      </c>
    </row>
    <row r="2" spans="1:14" ht="34" hidden="1">
      <c r="A2">
        <v>33532864</v>
      </c>
      <c r="B2" s="1" t="s">
        <v>5</v>
      </c>
      <c r="C2" t="s">
        <v>6</v>
      </c>
      <c r="D2" t="s">
        <v>7</v>
      </c>
      <c r="E2">
        <v>2022</v>
      </c>
      <c r="L2"/>
      <c r="M2"/>
    </row>
    <row r="3" spans="1:14" ht="17" hidden="1">
      <c r="A3">
        <v>37400792</v>
      </c>
      <c r="B3" s="1" t="s">
        <v>8</v>
      </c>
      <c r="C3" t="s">
        <v>9</v>
      </c>
      <c r="D3" t="s">
        <v>10</v>
      </c>
      <c r="E3">
        <v>2023</v>
      </c>
      <c r="L3"/>
      <c r="M3"/>
    </row>
    <row r="4" spans="1:14" ht="17" hidden="1">
      <c r="A4">
        <v>37261792</v>
      </c>
      <c r="B4" s="1" t="s">
        <v>11</v>
      </c>
      <c r="C4" t="s">
        <v>12</v>
      </c>
      <c r="D4" t="s">
        <v>13</v>
      </c>
      <c r="E4">
        <v>2023</v>
      </c>
      <c r="L4"/>
      <c r="M4"/>
    </row>
    <row r="5" spans="1:14" ht="34" hidden="1">
      <c r="A5">
        <v>36573973</v>
      </c>
      <c r="B5" s="1" t="s">
        <v>14</v>
      </c>
      <c r="C5" t="s">
        <v>15</v>
      </c>
      <c r="D5" t="s">
        <v>16</v>
      </c>
      <c r="E5">
        <v>2022</v>
      </c>
      <c r="F5">
        <v>2</v>
      </c>
      <c r="L5"/>
      <c r="M5"/>
    </row>
    <row r="6" spans="1:14" ht="34" hidden="1">
      <c r="A6">
        <v>34264297</v>
      </c>
      <c r="B6" s="1" t="s">
        <v>17</v>
      </c>
      <c r="C6" t="s">
        <v>18</v>
      </c>
      <c r="D6" t="s">
        <v>7</v>
      </c>
      <c r="E6">
        <v>2022</v>
      </c>
      <c r="L6"/>
      <c r="M6"/>
    </row>
    <row r="7" spans="1:14" ht="34" hidden="1">
      <c r="A7">
        <v>33437033</v>
      </c>
      <c r="B7" s="1" t="s">
        <v>19</v>
      </c>
      <c r="C7" t="s">
        <v>20</v>
      </c>
      <c r="D7" t="s">
        <v>21</v>
      </c>
      <c r="E7">
        <v>2021</v>
      </c>
      <c r="F7">
        <v>2</v>
      </c>
      <c r="L7"/>
      <c r="M7"/>
    </row>
    <row r="8" spans="1:14" ht="51">
      <c r="A8">
        <v>33226606</v>
      </c>
      <c r="B8" s="1" t="s">
        <v>22</v>
      </c>
      <c r="C8" t="s">
        <v>23</v>
      </c>
      <c r="D8" t="s">
        <v>24</v>
      </c>
      <c r="E8">
        <v>2021</v>
      </c>
      <c r="F8">
        <v>1</v>
      </c>
      <c r="G8">
        <v>138</v>
      </c>
      <c r="H8" t="s">
        <v>473</v>
      </c>
      <c r="I8" t="s">
        <v>475</v>
      </c>
      <c r="J8" t="s">
        <v>480</v>
      </c>
      <c r="K8" t="s">
        <v>487</v>
      </c>
      <c r="L8" s="1" t="s">
        <v>477</v>
      </c>
      <c r="N8" t="s">
        <v>473</v>
      </c>
    </row>
    <row r="9" spans="1:14" ht="119">
      <c r="A9">
        <v>37794564</v>
      </c>
      <c r="B9" s="1" t="s">
        <v>25</v>
      </c>
      <c r="C9" t="s">
        <v>26</v>
      </c>
      <c r="D9" t="s">
        <v>13</v>
      </c>
      <c r="E9">
        <v>2023</v>
      </c>
      <c r="F9">
        <v>1</v>
      </c>
      <c r="G9">
        <v>1623</v>
      </c>
      <c r="H9" t="s">
        <v>473</v>
      </c>
      <c r="I9" t="s">
        <v>476</v>
      </c>
      <c r="J9" s="2" t="s">
        <v>480</v>
      </c>
      <c r="K9" t="s">
        <v>488</v>
      </c>
      <c r="L9" s="1" t="s">
        <v>478</v>
      </c>
      <c r="M9" s="1" t="s">
        <v>486</v>
      </c>
      <c r="N9" t="s">
        <v>473</v>
      </c>
    </row>
    <row r="10" spans="1:14" ht="34">
      <c r="A10">
        <v>32939031</v>
      </c>
      <c r="B10" s="1" t="s">
        <v>27</v>
      </c>
      <c r="C10" t="s">
        <v>28</v>
      </c>
      <c r="D10" t="s">
        <v>29</v>
      </c>
      <c r="E10">
        <v>2021</v>
      </c>
      <c r="F10">
        <v>1</v>
      </c>
      <c r="G10">
        <v>204</v>
      </c>
      <c r="H10" t="s">
        <v>473</v>
      </c>
      <c r="I10" t="s">
        <v>479</v>
      </c>
      <c r="J10" t="s">
        <v>480</v>
      </c>
      <c r="K10" t="s">
        <v>487</v>
      </c>
      <c r="L10" s="1" t="s">
        <v>483</v>
      </c>
      <c r="M10" s="1" t="s">
        <v>482</v>
      </c>
      <c r="N10" t="s">
        <v>473</v>
      </c>
    </row>
    <row r="11" spans="1:14" ht="51" hidden="1">
      <c r="A11">
        <v>32450155</v>
      </c>
      <c r="B11" s="1" t="s">
        <v>30</v>
      </c>
      <c r="C11" t="s">
        <v>31</v>
      </c>
      <c r="D11" t="s">
        <v>32</v>
      </c>
      <c r="E11">
        <v>2020</v>
      </c>
      <c r="F11">
        <v>2</v>
      </c>
      <c r="L11"/>
      <c r="M11"/>
    </row>
    <row r="12" spans="1:14" ht="51" hidden="1">
      <c r="A12">
        <v>35368817</v>
      </c>
      <c r="B12" s="1" t="s">
        <v>33</v>
      </c>
      <c r="C12" t="s">
        <v>34</v>
      </c>
      <c r="D12" t="s">
        <v>35</v>
      </c>
      <c r="E12">
        <v>2020</v>
      </c>
      <c r="F12">
        <v>2</v>
      </c>
      <c r="L12"/>
      <c r="M12"/>
    </row>
    <row r="13" spans="1:14" ht="34">
      <c r="A13">
        <v>38972501</v>
      </c>
      <c r="B13" s="1" t="s">
        <v>36</v>
      </c>
      <c r="C13" t="s">
        <v>37</v>
      </c>
      <c r="D13" t="s">
        <v>38</v>
      </c>
      <c r="E13">
        <v>2024</v>
      </c>
      <c r="F13">
        <v>1</v>
      </c>
      <c r="G13">
        <v>818</v>
      </c>
      <c r="H13" t="s">
        <v>473</v>
      </c>
      <c r="I13" t="s">
        <v>489</v>
      </c>
      <c r="J13" t="s">
        <v>480</v>
      </c>
      <c r="K13" t="s">
        <v>488</v>
      </c>
      <c r="L13" s="1" t="s">
        <v>490</v>
      </c>
      <c r="N13" t="s">
        <v>473</v>
      </c>
    </row>
    <row r="14" spans="1:14" ht="34" hidden="1">
      <c r="A14">
        <v>38797326</v>
      </c>
      <c r="B14" s="1" t="s">
        <v>39</v>
      </c>
      <c r="C14" t="s">
        <v>40</v>
      </c>
      <c r="D14" t="s">
        <v>32</v>
      </c>
      <c r="E14">
        <v>2024</v>
      </c>
      <c r="L14"/>
      <c r="M14"/>
    </row>
    <row r="15" spans="1:14" ht="34" hidden="1">
      <c r="A15">
        <v>38104198</v>
      </c>
      <c r="B15" s="1" t="s">
        <v>41</v>
      </c>
      <c r="C15" t="s">
        <v>42</v>
      </c>
      <c r="D15" t="s">
        <v>43</v>
      </c>
      <c r="E15">
        <v>2023</v>
      </c>
      <c r="L15"/>
      <c r="M15"/>
    </row>
    <row r="16" spans="1:14" ht="34" hidden="1">
      <c r="A16">
        <v>37126668</v>
      </c>
      <c r="B16" s="1" t="s">
        <v>44</v>
      </c>
      <c r="C16" t="s">
        <v>45</v>
      </c>
      <c r="D16" t="s">
        <v>13</v>
      </c>
      <c r="E16">
        <v>2023</v>
      </c>
      <c r="L16"/>
      <c r="M16"/>
    </row>
    <row r="17" spans="1:14" ht="34" hidden="1">
      <c r="A17">
        <v>38671320</v>
      </c>
      <c r="B17" s="1" t="s">
        <v>46</v>
      </c>
      <c r="C17" t="s">
        <v>47</v>
      </c>
      <c r="D17" t="s">
        <v>48</v>
      </c>
      <c r="E17">
        <v>2024</v>
      </c>
      <c r="L17"/>
      <c r="M17"/>
    </row>
    <row r="18" spans="1:14" ht="34" hidden="1">
      <c r="A18">
        <v>35229136</v>
      </c>
      <c r="B18" s="1" t="s">
        <v>49</v>
      </c>
      <c r="C18" t="s">
        <v>50</v>
      </c>
      <c r="D18" t="s">
        <v>51</v>
      </c>
      <c r="E18">
        <v>2022</v>
      </c>
      <c r="L18"/>
      <c r="M18"/>
    </row>
    <row r="19" spans="1:14" ht="17">
      <c r="A19">
        <v>32739203</v>
      </c>
      <c r="B19" s="1" t="s">
        <v>52</v>
      </c>
      <c r="C19" t="s">
        <v>53</v>
      </c>
      <c r="D19" t="s">
        <v>32</v>
      </c>
      <c r="E19">
        <v>2020</v>
      </c>
      <c r="F19">
        <v>1</v>
      </c>
      <c r="M19" s="1" t="s">
        <v>492</v>
      </c>
      <c r="N19" t="s">
        <v>491</v>
      </c>
    </row>
    <row r="20" spans="1:14" ht="34">
      <c r="A20">
        <v>36753701</v>
      </c>
      <c r="B20" s="1" t="s">
        <v>54</v>
      </c>
      <c r="C20" t="s">
        <v>55</v>
      </c>
      <c r="D20" t="s">
        <v>13</v>
      </c>
      <c r="E20">
        <v>2023</v>
      </c>
      <c r="F20">
        <v>1</v>
      </c>
      <c r="G20">
        <v>476</v>
      </c>
      <c r="H20" t="s">
        <v>491</v>
      </c>
      <c r="M20" s="1" t="s">
        <v>493</v>
      </c>
      <c r="N20" t="s">
        <v>491</v>
      </c>
    </row>
    <row r="21" spans="1:14" ht="34" hidden="1">
      <c r="A21">
        <v>35994232</v>
      </c>
      <c r="B21" s="1" t="s">
        <v>56</v>
      </c>
      <c r="C21" t="s">
        <v>57</v>
      </c>
      <c r="D21" t="s">
        <v>24</v>
      </c>
      <c r="E21">
        <v>2023</v>
      </c>
      <c r="L21"/>
      <c r="M21"/>
    </row>
    <row r="22" spans="1:14" ht="34" hidden="1">
      <c r="A22">
        <v>39138396</v>
      </c>
      <c r="B22" s="1" t="s">
        <v>58</v>
      </c>
      <c r="C22" t="s">
        <v>59</v>
      </c>
      <c r="D22" t="s">
        <v>60</v>
      </c>
      <c r="E22">
        <v>2024</v>
      </c>
      <c r="L22"/>
      <c r="M22"/>
    </row>
    <row r="23" spans="1:14" ht="34" hidden="1">
      <c r="A23">
        <v>34237823</v>
      </c>
      <c r="B23" s="1" t="s">
        <v>61</v>
      </c>
      <c r="C23" t="s">
        <v>62</v>
      </c>
      <c r="D23" t="s">
        <v>63</v>
      </c>
      <c r="E23">
        <v>2021</v>
      </c>
      <c r="F23">
        <v>2</v>
      </c>
      <c r="L23"/>
      <c r="M23"/>
    </row>
    <row r="24" spans="1:14" ht="34" hidden="1">
      <c r="A24">
        <v>34519781</v>
      </c>
      <c r="B24" s="1" t="s">
        <v>64</v>
      </c>
      <c r="C24" t="s">
        <v>65</v>
      </c>
      <c r="D24" t="s">
        <v>7</v>
      </c>
      <c r="E24">
        <v>2023</v>
      </c>
      <c r="L24"/>
      <c r="M24"/>
    </row>
    <row r="25" spans="1:14" ht="34">
      <c r="A25">
        <v>32646915</v>
      </c>
      <c r="B25" s="1" t="s">
        <v>66</v>
      </c>
      <c r="C25" t="s">
        <v>67</v>
      </c>
      <c r="D25" t="s">
        <v>68</v>
      </c>
      <c r="E25">
        <v>2020</v>
      </c>
      <c r="F25">
        <v>1</v>
      </c>
      <c r="M25" s="1" t="s">
        <v>494</v>
      </c>
      <c r="N25" t="s">
        <v>491</v>
      </c>
    </row>
    <row r="26" spans="1:14" ht="51" hidden="1">
      <c r="A26">
        <v>38190104</v>
      </c>
      <c r="B26" s="1" t="s">
        <v>69</v>
      </c>
      <c r="C26" t="s">
        <v>70</v>
      </c>
      <c r="D26" t="s">
        <v>71</v>
      </c>
      <c r="E26">
        <v>2024</v>
      </c>
      <c r="L26"/>
      <c r="M26"/>
    </row>
    <row r="27" spans="1:14" ht="51" hidden="1">
      <c r="A27">
        <v>36623684</v>
      </c>
      <c r="B27" s="1" t="s">
        <v>72</v>
      </c>
      <c r="C27" t="s">
        <v>73</v>
      </c>
      <c r="D27" t="s">
        <v>38</v>
      </c>
      <c r="E27">
        <v>2023</v>
      </c>
      <c r="L27"/>
      <c r="M27"/>
    </row>
    <row r="28" spans="1:14" ht="34" hidden="1">
      <c r="A28">
        <v>36444934</v>
      </c>
      <c r="B28" s="1" t="s">
        <v>74</v>
      </c>
      <c r="C28" t="s">
        <v>75</v>
      </c>
      <c r="D28" t="s">
        <v>76</v>
      </c>
      <c r="E28">
        <v>2023</v>
      </c>
      <c r="L28"/>
      <c r="M28"/>
    </row>
    <row r="29" spans="1:14" ht="51" hidden="1">
      <c r="A29">
        <v>38852815</v>
      </c>
      <c r="B29" s="1" t="s">
        <v>77</v>
      </c>
      <c r="C29" t="s">
        <v>78</v>
      </c>
      <c r="D29" t="s">
        <v>79</v>
      </c>
      <c r="E29">
        <v>2024</v>
      </c>
      <c r="L29"/>
      <c r="M29"/>
    </row>
    <row r="30" spans="1:14" ht="34">
      <c r="A30">
        <v>37270787</v>
      </c>
      <c r="B30" s="1" t="s">
        <v>80</v>
      </c>
      <c r="C30" t="s">
        <v>81</v>
      </c>
      <c r="D30" t="s">
        <v>82</v>
      </c>
      <c r="E30">
        <v>2023</v>
      </c>
      <c r="F30">
        <v>1</v>
      </c>
      <c r="G30">
        <v>176</v>
      </c>
      <c r="H30" t="s">
        <v>491</v>
      </c>
      <c r="M30" s="1" t="s">
        <v>493</v>
      </c>
      <c r="N30" t="s">
        <v>491</v>
      </c>
    </row>
    <row r="31" spans="1:14" ht="34" hidden="1">
      <c r="A31">
        <v>35115544</v>
      </c>
      <c r="B31" s="1" t="s">
        <v>83</v>
      </c>
      <c r="C31" t="s">
        <v>84</v>
      </c>
      <c r="D31" t="s">
        <v>85</v>
      </c>
      <c r="E31">
        <v>2022</v>
      </c>
      <c r="L31"/>
      <c r="M31"/>
    </row>
    <row r="32" spans="1:14" ht="34" hidden="1">
      <c r="A32">
        <v>32312792</v>
      </c>
      <c r="B32" s="1" t="s">
        <v>86</v>
      </c>
      <c r="C32" t="s">
        <v>87</v>
      </c>
      <c r="D32" t="s">
        <v>68</v>
      </c>
      <c r="E32">
        <v>2020</v>
      </c>
      <c r="F32">
        <v>2</v>
      </c>
      <c r="L32"/>
      <c r="M32"/>
    </row>
    <row r="33" spans="1:14" ht="34" hidden="1">
      <c r="A33">
        <v>31853010</v>
      </c>
      <c r="B33" s="1" t="s">
        <v>88</v>
      </c>
      <c r="C33" t="s">
        <v>89</v>
      </c>
      <c r="D33" t="s">
        <v>90</v>
      </c>
      <c r="E33">
        <v>2020</v>
      </c>
      <c r="L33"/>
      <c r="M33"/>
    </row>
    <row r="34" spans="1:14" ht="34" hidden="1">
      <c r="A34">
        <v>34067580</v>
      </c>
      <c r="B34" s="1" t="s">
        <v>91</v>
      </c>
      <c r="C34" t="s">
        <v>92</v>
      </c>
      <c r="D34" t="s">
        <v>93</v>
      </c>
      <c r="E34">
        <v>2021</v>
      </c>
      <c r="L34"/>
      <c r="M34"/>
    </row>
    <row r="35" spans="1:14" ht="51" hidden="1">
      <c r="A35">
        <v>37624678</v>
      </c>
      <c r="B35" s="1" t="s">
        <v>94</v>
      </c>
      <c r="C35" t="s">
        <v>95</v>
      </c>
      <c r="D35" t="s">
        <v>96</v>
      </c>
      <c r="E35">
        <v>2023</v>
      </c>
      <c r="L35"/>
      <c r="M35"/>
    </row>
    <row r="36" spans="1:14" ht="34" hidden="1">
      <c r="A36">
        <v>37103770</v>
      </c>
      <c r="B36" s="1" t="s">
        <v>97</v>
      </c>
      <c r="C36" t="s">
        <v>98</v>
      </c>
      <c r="D36" t="s">
        <v>24</v>
      </c>
      <c r="E36">
        <v>2023</v>
      </c>
      <c r="L36"/>
      <c r="M36"/>
    </row>
    <row r="37" spans="1:14" ht="51" hidden="1">
      <c r="A37">
        <v>39405682</v>
      </c>
      <c r="B37" s="1" t="s">
        <v>99</v>
      </c>
      <c r="C37" t="s">
        <v>100</v>
      </c>
      <c r="D37" t="s">
        <v>101</v>
      </c>
      <c r="E37">
        <v>2024</v>
      </c>
      <c r="L37"/>
      <c r="M37"/>
    </row>
    <row r="38" spans="1:14" ht="51" hidden="1">
      <c r="A38">
        <v>39402708</v>
      </c>
      <c r="B38" s="1" t="s">
        <v>102</v>
      </c>
      <c r="C38" t="s">
        <v>103</v>
      </c>
      <c r="D38" t="s">
        <v>104</v>
      </c>
      <c r="E38">
        <v>2025</v>
      </c>
      <c r="L38"/>
      <c r="M38"/>
    </row>
    <row r="39" spans="1:14" ht="34">
      <c r="A39">
        <v>37489581</v>
      </c>
      <c r="B39" s="1" t="s">
        <v>105</v>
      </c>
      <c r="C39" t="s">
        <v>106</v>
      </c>
      <c r="D39" t="s">
        <v>29</v>
      </c>
      <c r="E39">
        <v>2023</v>
      </c>
      <c r="F39">
        <v>1</v>
      </c>
      <c r="M39" s="1" t="s">
        <v>495</v>
      </c>
      <c r="N39" t="s">
        <v>491</v>
      </c>
    </row>
    <row r="40" spans="1:14" ht="51" hidden="1">
      <c r="A40">
        <v>38905995</v>
      </c>
      <c r="B40" s="1" t="s">
        <v>107</v>
      </c>
      <c r="C40" t="s">
        <v>108</v>
      </c>
      <c r="D40" t="s">
        <v>109</v>
      </c>
      <c r="E40">
        <v>2024</v>
      </c>
      <c r="L40"/>
      <c r="M40"/>
    </row>
    <row r="41" spans="1:14" ht="51" hidden="1">
      <c r="A41">
        <v>39819994</v>
      </c>
      <c r="B41" s="1" t="s">
        <v>110</v>
      </c>
      <c r="C41" t="s">
        <v>111</v>
      </c>
      <c r="D41" t="s">
        <v>104</v>
      </c>
      <c r="E41">
        <v>2025</v>
      </c>
      <c r="L41"/>
      <c r="M41"/>
    </row>
    <row r="42" spans="1:14" ht="34" hidden="1">
      <c r="A42">
        <v>33783510</v>
      </c>
      <c r="B42" s="1" t="s">
        <v>112</v>
      </c>
      <c r="C42" t="s">
        <v>113</v>
      </c>
      <c r="D42" t="s">
        <v>76</v>
      </c>
      <c r="E42">
        <v>2021</v>
      </c>
      <c r="L42"/>
      <c r="M42"/>
    </row>
    <row r="43" spans="1:14" ht="34" hidden="1">
      <c r="A43">
        <v>36245662</v>
      </c>
      <c r="B43" s="1" t="s">
        <v>114</v>
      </c>
      <c r="C43" t="s">
        <v>115</v>
      </c>
      <c r="D43" t="s">
        <v>35</v>
      </c>
      <c r="E43">
        <v>2022</v>
      </c>
      <c r="L43"/>
      <c r="M43"/>
    </row>
    <row r="44" spans="1:14" ht="34" hidden="1">
      <c r="A44">
        <v>32889981</v>
      </c>
      <c r="B44" s="1" t="s">
        <v>116</v>
      </c>
      <c r="C44" t="s">
        <v>117</v>
      </c>
      <c r="D44" t="s">
        <v>118</v>
      </c>
      <c r="E44">
        <v>2020</v>
      </c>
      <c r="L44"/>
      <c r="M44"/>
    </row>
    <row r="45" spans="1:14" ht="34" hidden="1">
      <c r="A45">
        <v>36525551</v>
      </c>
      <c r="B45" s="1" t="s">
        <v>119</v>
      </c>
      <c r="C45" t="s">
        <v>120</v>
      </c>
      <c r="D45" t="s">
        <v>104</v>
      </c>
      <c r="E45">
        <v>2023</v>
      </c>
      <c r="L45"/>
      <c r="M45"/>
    </row>
    <row r="46" spans="1:14" ht="51" hidden="1">
      <c r="A46">
        <v>40345499</v>
      </c>
      <c r="B46" s="1" t="s">
        <v>121</v>
      </c>
      <c r="C46" t="s">
        <v>122</v>
      </c>
      <c r="D46" t="s">
        <v>123</v>
      </c>
      <c r="E46">
        <v>2025</v>
      </c>
      <c r="L46"/>
      <c r="M46"/>
    </row>
    <row r="47" spans="1:14" ht="17" hidden="1">
      <c r="A47">
        <v>31822006</v>
      </c>
      <c r="B47" s="1" t="s">
        <v>124</v>
      </c>
      <c r="C47" t="s">
        <v>125</v>
      </c>
      <c r="D47" t="s">
        <v>126</v>
      </c>
      <c r="E47">
        <v>2020</v>
      </c>
      <c r="L47"/>
      <c r="M47"/>
    </row>
    <row r="48" spans="1:14" ht="68" hidden="1">
      <c r="A48">
        <v>40484353</v>
      </c>
      <c r="B48" s="1" t="s">
        <v>127</v>
      </c>
      <c r="C48" t="s">
        <v>128</v>
      </c>
      <c r="D48" t="s">
        <v>32</v>
      </c>
      <c r="E48">
        <v>2025</v>
      </c>
      <c r="L48"/>
      <c r="M48"/>
    </row>
    <row r="49" spans="1:5" customFormat="1" ht="34" hidden="1">
      <c r="A49">
        <v>32799815</v>
      </c>
      <c r="B49" s="1" t="s">
        <v>129</v>
      </c>
      <c r="C49" t="s">
        <v>130</v>
      </c>
      <c r="D49" t="s">
        <v>60</v>
      </c>
      <c r="E49">
        <v>2020</v>
      </c>
    </row>
    <row r="50" spans="1:5" customFormat="1" ht="34" hidden="1">
      <c r="A50">
        <v>36758113</v>
      </c>
      <c r="B50" s="1" t="s">
        <v>131</v>
      </c>
      <c r="C50" t="s">
        <v>132</v>
      </c>
      <c r="D50" t="s">
        <v>13</v>
      </c>
      <c r="E50">
        <v>2023</v>
      </c>
    </row>
    <row r="51" spans="1:5" customFormat="1" ht="34" hidden="1">
      <c r="A51">
        <v>34449333</v>
      </c>
      <c r="B51" s="1" t="s">
        <v>133</v>
      </c>
      <c r="C51" t="s">
        <v>134</v>
      </c>
      <c r="D51" t="s">
        <v>101</v>
      </c>
      <c r="E51">
        <v>2022</v>
      </c>
    </row>
    <row r="52" spans="1:5" customFormat="1" ht="51" hidden="1">
      <c r="A52">
        <v>35120996</v>
      </c>
      <c r="B52" s="1" t="s">
        <v>135</v>
      </c>
      <c r="C52" t="s">
        <v>136</v>
      </c>
      <c r="D52" t="s">
        <v>32</v>
      </c>
      <c r="E52">
        <v>2022</v>
      </c>
    </row>
    <row r="53" spans="1:5" customFormat="1" ht="34" hidden="1">
      <c r="A53">
        <v>32855195</v>
      </c>
      <c r="B53" s="1" t="s">
        <v>137</v>
      </c>
      <c r="C53" t="s">
        <v>138</v>
      </c>
      <c r="D53" t="s">
        <v>68</v>
      </c>
      <c r="E53">
        <v>2020</v>
      </c>
    </row>
    <row r="54" spans="1:5" customFormat="1" ht="51" hidden="1">
      <c r="A54">
        <v>34946851</v>
      </c>
      <c r="B54" s="1" t="s">
        <v>139</v>
      </c>
      <c r="C54" t="s">
        <v>92</v>
      </c>
      <c r="D54" t="s">
        <v>93</v>
      </c>
      <c r="E54">
        <v>2021</v>
      </c>
    </row>
    <row r="55" spans="1:5" customFormat="1" ht="51" hidden="1">
      <c r="A55">
        <v>35006361</v>
      </c>
      <c r="B55" s="1" t="s">
        <v>140</v>
      </c>
      <c r="C55" t="s">
        <v>141</v>
      </c>
      <c r="D55" t="s">
        <v>142</v>
      </c>
      <c r="E55">
        <v>2022</v>
      </c>
    </row>
    <row r="56" spans="1:5" customFormat="1" ht="34" hidden="1">
      <c r="A56">
        <v>34343338</v>
      </c>
      <c r="B56" s="1" t="s">
        <v>143</v>
      </c>
      <c r="C56" t="s">
        <v>144</v>
      </c>
      <c r="D56" t="s">
        <v>145</v>
      </c>
      <c r="E56">
        <v>2021</v>
      </c>
    </row>
    <row r="57" spans="1:5" customFormat="1" ht="34" hidden="1">
      <c r="A57">
        <v>34363274</v>
      </c>
      <c r="B57" s="1" t="s">
        <v>146</v>
      </c>
      <c r="C57" t="s">
        <v>147</v>
      </c>
      <c r="D57" t="s">
        <v>148</v>
      </c>
      <c r="E57">
        <v>2022</v>
      </c>
    </row>
    <row r="58" spans="1:5" customFormat="1" ht="51" hidden="1">
      <c r="A58">
        <v>37391705</v>
      </c>
      <c r="B58" s="1" t="s">
        <v>149</v>
      </c>
      <c r="C58" t="s">
        <v>150</v>
      </c>
      <c r="D58" t="s">
        <v>151</v>
      </c>
      <c r="E58">
        <v>2023</v>
      </c>
    </row>
    <row r="59" spans="1:5" customFormat="1" ht="34" hidden="1">
      <c r="A59">
        <v>32080893</v>
      </c>
      <c r="B59" s="1" t="s">
        <v>152</v>
      </c>
      <c r="C59" t="s">
        <v>153</v>
      </c>
      <c r="D59" t="s">
        <v>154</v>
      </c>
      <c r="E59">
        <v>2020</v>
      </c>
    </row>
    <row r="60" spans="1:5" customFormat="1" ht="34" hidden="1">
      <c r="A60">
        <v>33276865</v>
      </c>
      <c r="B60" s="1" t="s">
        <v>155</v>
      </c>
      <c r="C60" t="s">
        <v>156</v>
      </c>
      <c r="D60" t="s">
        <v>32</v>
      </c>
      <c r="E60">
        <v>2020</v>
      </c>
    </row>
    <row r="61" spans="1:5" customFormat="1" ht="51" hidden="1">
      <c r="A61">
        <v>32574212</v>
      </c>
      <c r="B61" s="1" t="s">
        <v>157</v>
      </c>
      <c r="C61" t="s">
        <v>158</v>
      </c>
      <c r="D61" t="s">
        <v>159</v>
      </c>
      <c r="E61">
        <v>2020</v>
      </c>
    </row>
    <row r="62" spans="1:5" customFormat="1" ht="51" hidden="1">
      <c r="A62">
        <v>37248651</v>
      </c>
      <c r="B62" s="1" t="s">
        <v>160</v>
      </c>
      <c r="C62" t="s">
        <v>161</v>
      </c>
      <c r="D62" t="s">
        <v>162</v>
      </c>
      <c r="E62">
        <v>2023</v>
      </c>
    </row>
    <row r="63" spans="1:5" customFormat="1" ht="68" hidden="1">
      <c r="A63">
        <v>37510393</v>
      </c>
      <c r="B63" s="1" t="s">
        <v>163</v>
      </c>
      <c r="C63" t="s">
        <v>164</v>
      </c>
      <c r="D63" t="s">
        <v>93</v>
      </c>
      <c r="E63">
        <v>2023</v>
      </c>
    </row>
    <row r="64" spans="1:5" customFormat="1" ht="51" hidden="1">
      <c r="A64">
        <v>40325148</v>
      </c>
      <c r="B64" s="1" t="s">
        <v>165</v>
      </c>
      <c r="C64" t="s">
        <v>166</v>
      </c>
      <c r="D64" t="s">
        <v>167</v>
      </c>
      <c r="E64">
        <v>2025</v>
      </c>
    </row>
    <row r="65" spans="1:14" ht="51" hidden="1">
      <c r="A65">
        <v>35962481</v>
      </c>
      <c r="B65" s="1" t="s">
        <v>168</v>
      </c>
      <c r="C65" t="s">
        <v>169</v>
      </c>
      <c r="D65" t="s">
        <v>170</v>
      </c>
      <c r="E65">
        <v>2022</v>
      </c>
      <c r="L65"/>
      <c r="M65"/>
    </row>
    <row r="66" spans="1:14" ht="51" hidden="1">
      <c r="A66">
        <v>36404353</v>
      </c>
      <c r="B66" s="1" t="s">
        <v>171</v>
      </c>
      <c r="C66" t="s">
        <v>172</v>
      </c>
      <c r="D66" t="s">
        <v>173</v>
      </c>
      <c r="E66">
        <v>2023</v>
      </c>
      <c r="L66"/>
      <c r="M66"/>
    </row>
    <row r="67" spans="1:14" ht="51" hidden="1">
      <c r="A67">
        <v>36072369</v>
      </c>
      <c r="B67" s="1" t="s">
        <v>174</v>
      </c>
      <c r="C67" t="s">
        <v>175</v>
      </c>
      <c r="D67" t="s">
        <v>176</v>
      </c>
      <c r="E67">
        <v>2022</v>
      </c>
      <c r="L67"/>
      <c r="M67"/>
    </row>
    <row r="68" spans="1:14" ht="68">
      <c r="A68">
        <v>35099770</v>
      </c>
      <c r="B68" s="1" t="s">
        <v>177</v>
      </c>
      <c r="C68" t="s">
        <v>178</v>
      </c>
      <c r="D68" t="s">
        <v>24</v>
      </c>
      <c r="E68">
        <v>2022</v>
      </c>
      <c r="F68">
        <v>1</v>
      </c>
      <c r="G68">
        <v>677</v>
      </c>
      <c r="H68" t="s">
        <v>473</v>
      </c>
      <c r="I68" t="s">
        <v>496</v>
      </c>
      <c r="J68" t="s">
        <v>480</v>
      </c>
      <c r="K68" t="s">
        <v>488</v>
      </c>
      <c r="L68" s="1" t="s">
        <v>498</v>
      </c>
      <c r="M68" s="1" t="s">
        <v>497</v>
      </c>
      <c r="N68" t="s">
        <v>473</v>
      </c>
    </row>
    <row r="69" spans="1:14" ht="51">
      <c r="A69">
        <v>35393322</v>
      </c>
      <c r="B69" s="1" t="s">
        <v>179</v>
      </c>
      <c r="C69" t="s">
        <v>180</v>
      </c>
      <c r="D69" t="s">
        <v>181</v>
      </c>
      <c r="E69">
        <v>2022</v>
      </c>
      <c r="F69">
        <v>1</v>
      </c>
      <c r="G69">
        <v>51</v>
      </c>
      <c r="M69" s="1" t="s">
        <v>499</v>
      </c>
      <c r="N69" t="s">
        <v>491</v>
      </c>
    </row>
    <row r="70" spans="1:14" ht="51" hidden="1">
      <c r="A70">
        <v>35148957</v>
      </c>
      <c r="B70" s="1" t="s">
        <v>182</v>
      </c>
      <c r="C70" t="s">
        <v>183</v>
      </c>
      <c r="D70" t="s">
        <v>184</v>
      </c>
      <c r="E70">
        <v>2022</v>
      </c>
      <c r="L70"/>
      <c r="M70"/>
    </row>
    <row r="71" spans="1:14" ht="34" hidden="1">
      <c r="A71">
        <v>39054238</v>
      </c>
      <c r="B71" s="1" t="s">
        <v>185</v>
      </c>
      <c r="C71" t="s">
        <v>186</v>
      </c>
      <c r="D71" t="s">
        <v>187</v>
      </c>
      <c r="E71">
        <v>2024</v>
      </c>
      <c r="L71"/>
      <c r="M71"/>
    </row>
    <row r="72" spans="1:14" ht="34" hidden="1">
      <c r="A72">
        <v>33838163</v>
      </c>
      <c r="B72" s="1" t="s">
        <v>188</v>
      </c>
      <c r="C72" t="s">
        <v>189</v>
      </c>
      <c r="D72" t="s">
        <v>32</v>
      </c>
      <c r="E72">
        <v>2021</v>
      </c>
      <c r="L72"/>
      <c r="M72"/>
    </row>
    <row r="73" spans="1:14" ht="34" hidden="1">
      <c r="A73">
        <v>37229630</v>
      </c>
      <c r="B73" s="1" t="s">
        <v>190</v>
      </c>
      <c r="C73" t="s">
        <v>191</v>
      </c>
      <c r="D73" t="s">
        <v>192</v>
      </c>
      <c r="E73">
        <v>2023</v>
      </c>
      <c r="L73"/>
      <c r="M73"/>
    </row>
    <row r="74" spans="1:14" ht="51" hidden="1">
      <c r="A74">
        <v>36949158</v>
      </c>
      <c r="B74" s="1" t="s">
        <v>193</v>
      </c>
      <c r="C74" t="s">
        <v>194</v>
      </c>
      <c r="D74" t="s">
        <v>85</v>
      </c>
      <c r="E74">
        <v>2023</v>
      </c>
      <c r="L74"/>
      <c r="M74"/>
    </row>
    <row r="75" spans="1:14" ht="51" hidden="1">
      <c r="A75">
        <v>37759214</v>
      </c>
      <c r="B75" s="1" t="s">
        <v>195</v>
      </c>
      <c r="C75" t="s">
        <v>196</v>
      </c>
      <c r="D75" t="s">
        <v>197</v>
      </c>
      <c r="E75">
        <v>2023</v>
      </c>
      <c r="L75"/>
      <c r="M75"/>
    </row>
    <row r="76" spans="1:14" ht="51" hidden="1">
      <c r="A76">
        <v>39965361</v>
      </c>
      <c r="B76" s="1" t="s">
        <v>198</v>
      </c>
      <c r="C76" t="s">
        <v>199</v>
      </c>
      <c r="D76" t="s">
        <v>200</v>
      </c>
      <c r="E76">
        <v>2025</v>
      </c>
      <c r="L76"/>
      <c r="M76"/>
    </row>
    <row r="77" spans="1:14" ht="51" hidden="1">
      <c r="A77">
        <v>37978231</v>
      </c>
      <c r="B77" s="1" t="s">
        <v>201</v>
      </c>
      <c r="C77" t="s">
        <v>202</v>
      </c>
      <c r="D77" t="s">
        <v>203</v>
      </c>
      <c r="E77">
        <v>2023</v>
      </c>
      <c r="L77"/>
      <c r="M77"/>
    </row>
    <row r="78" spans="1:14" ht="51" hidden="1">
      <c r="A78">
        <v>37037154</v>
      </c>
      <c r="B78" s="1" t="s">
        <v>204</v>
      </c>
      <c r="C78" t="s">
        <v>205</v>
      </c>
      <c r="D78" t="s">
        <v>206</v>
      </c>
      <c r="E78">
        <v>2023</v>
      </c>
      <c r="L78"/>
      <c r="M78"/>
    </row>
    <row r="79" spans="1:14" ht="68" hidden="1">
      <c r="A79">
        <v>38022507</v>
      </c>
      <c r="B79" s="1" t="s">
        <v>207</v>
      </c>
      <c r="C79" t="s">
        <v>208</v>
      </c>
      <c r="D79" t="s">
        <v>209</v>
      </c>
      <c r="E79">
        <v>2023</v>
      </c>
      <c r="L79"/>
      <c r="M79"/>
    </row>
    <row r="80" spans="1:14" ht="51" hidden="1">
      <c r="A80">
        <v>34354814</v>
      </c>
      <c r="B80" s="1" t="s">
        <v>210</v>
      </c>
      <c r="C80" t="s">
        <v>211</v>
      </c>
      <c r="D80" t="s">
        <v>212</v>
      </c>
      <c r="E80">
        <v>2021</v>
      </c>
      <c r="L80"/>
      <c r="M80"/>
    </row>
    <row r="81" spans="1:14" ht="51" hidden="1">
      <c r="A81">
        <v>36627639</v>
      </c>
      <c r="B81" s="1" t="s">
        <v>213</v>
      </c>
      <c r="C81" t="s">
        <v>214</v>
      </c>
      <c r="D81" t="s">
        <v>215</v>
      </c>
      <c r="E81">
        <v>2023</v>
      </c>
      <c r="L81"/>
      <c r="M81"/>
    </row>
    <row r="82" spans="1:14" ht="51" hidden="1">
      <c r="A82">
        <v>33108403</v>
      </c>
      <c r="B82" s="1" t="s">
        <v>216</v>
      </c>
      <c r="C82" t="s">
        <v>217</v>
      </c>
      <c r="D82" t="s">
        <v>159</v>
      </c>
      <c r="E82">
        <v>2020</v>
      </c>
      <c r="L82"/>
      <c r="M82"/>
    </row>
    <row r="83" spans="1:14" ht="51" hidden="1">
      <c r="A83">
        <v>38152017</v>
      </c>
      <c r="B83" s="1" t="s">
        <v>218</v>
      </c>
      <c r="C83" t="s">
        <v>219</v>
      </c>
      <c r="D83" t="s">
        <v>123</v>
      </c>
      <c r="E83">
        <v>2024</v>
      </c>
      <c r="L83"/>
      <c r="M83"/>
    </row>
    <row r="84" spans="1:14" ht="34" hidden="1">
      <c r="A84">
        <v>35603906</v>
      </c>
      <c r="B84" s="1" t="s">
        <v>220</v>
      </c>
      <c r="C84" t="s">
        <v>221</v>
      </c>
      <c r="D84" t="s">
        <v>222</v>
      </c>
      <c r="E84">
        <v>2022</v>
      </c>
      <c r="L84"/>
      <c r="M84"/>
    </row>
    <row r="85" spans="1:14" ht="34">
      <c r="A85">
        <v>33095447</v>
      </c>
      <c r="B85" s="1" t="s">
        <v>223</v>
      </c>
      <c r="C85" t="s">
        <v>224</v>
      </c>
      <c r="D85" t="s">
        <v>82</v>
      </c>
      <c r="E85">
        <v>2021</v>
      </c>
      <c r="F85">
        <v>1</v>
      </c>
      <c r="M85" s="1" t="s">
        <v>500</v>
      </c>
      <c r="N85" t="s">
        <v>491</v>
      </c>
    </row>
    <row r="86" spans="1:14" ht="51" hidden="1">
      <c r="A86">
        <v>34521993</v>
      </c>
      <c r="B86" s="1" t="s">
        <v>225</v>
      </c>
      <c r="C86" t="s">
        <v>226</v>
      </c>
      <c r="D86" t="s">
        <v>79</v>
      </c>
      <c r="E86">
        <v>2022</v>
      </c>
      <c r="L86"/>
      <c r="M86"/>
    </row>
    <row r="87" spans="1:14" ht="34" hidden="1">
      <c r="A87">
        <v>36688940</v>
      </c>
      <c r="B87" s="1" t="s">
        <v>227</v>
      </c>
      <c r="C87" t="s">
        <v>228</v>
      </c>
      <c r="D87" t="s">
        <v>142</v>
      </c>
      <c r="E87">
        <v>2023</v>
      </c>
      <c r="L87"/>
      <c r="M87"/>
    </row>
    <row r="88" spans="1:14" ht="68" hidden="1">
      <c r="A88">
        <v>35980750</v>
      </c>
      <c r="B88" s="1" t="s">
        <v>229</v>
      </c>
      <c r="C88" t="s">
        <v>230</v>
      </c>
      <c r="D88" t="s">
        <v>231</v>
      </c>
      <c r="E88">
        <v>2022</v>
      </c>
      <c r="L88"/>
      <c r="M88"/>
    </row>
    <row r="89" spans="1:14" ht="51" hidden="1">
      <c r="A89">
        <v>34946941</v>
      </c>
      <c r="B89" s="1" t="s">
        <v>232</v>
      </c>
      <c r="C89" t="s">
        <v>233</v>
      </c>
      <c r="D89" t="s">
        <v>93</v>
      </c>
      <c r="E89">
        <v>2021</v>
      </c>
      <c r="L89"/>
      <c r="M89"/>
    </row>
    <row r="90" spans="1:14" ht="51" hidden="1">
      <c r="A90">
        <v>31646670</v>
      </c>
      <c r="B90" s="1" t="s">
        <v>234</v>
      </c>
      <c r="C90" t="s">
        <v>235</v>
      </c>
      <c r="D90" t="s">
        <v>236</v>
      </c>
      <c r="E90">
        <v>2020</v>
      </c>
      <c r="L90"/>
      <c r="M90"/>
    </row>
    <row r="91" spans="1:14" ht="34" hidden="1">
      <c r="A91">
        <v>34545573</v>
      </c>
      <c r="B91" s="1" t="s">
        <v>237</v>
      </c>
      <c r="C91" t="s">
        <v>238</v>
      </c>
      <c r="D91" t="s">
        <v>239</v>
      </c>
      <c r="E91">
        <v>2022</v>
      </c>
      <c r="L91"/>
      <c r="M91"/>
    </row>
    <row r="92" spans="1:14" ht="51" hidden="1">
      <c r="A92">
        <v>39333970</v>
      </c>
      <c r="B92" s="1" t="s">
        <v>240</v>
      </c>
      <c r="C92" t="s">
        <v>241</v>
      </c>
      <c r="D92" t="s">
        <v>242</v>
      </c>
      <c r="E92">
        <v>2024</v>
      </c>
      <c r="L92"/>
      <c r="M92"/>
    </row>
    <row r="93" spans="1:14" ht="51" hidden="1">
      <c r="A93">
        <v>34134020</v>
      </c>
      <c r="B93" s="1" t="s">
        <v>243</v>
      </c>
      <c r="C93" t="s">
        <v>244</v>
      </c>
      <c r="D93" t="s">
        <v>245</v>
      </c>
      <c r="E93">
        <v>2021</v>
      </c>
      <c r="L93"/>
      <c r="M93"/>
    </row>
    <row r="94" spans="1:14" ht="51" hidden="1">
      <c r="A94">
        <v>34565606</v>
      </c>
      <c r="B94" s="1" t="s">
        <v>246</v>
      </c>
      <c r="C94" t="s">
        <v>247</v>
      </c>
      <c r="D94" t="s">
        <v>248</v>
      </c>
      <c r="E94">
        <v>2022</v>
      </c>
      <c r="L94"/>
      <c r="M94"/>
    </row>
    <row r="95" spans="1:14" ht="34" hidden="1">
      <c r="A95">
        <v>32029730</v>
      </c>
      <c r="B95" s="1" t="s">
        <v>249</v>
      </c>
      <c r="C95" t="s">
        <v>250</v>
      </c>
      <c r="D95" t="s">
        <v>43</v>
      </c>
      <c r="E95">
        <v>2020</v>
      </c>
      <c r="L95"/>
      <c r="M95"/>
    </row>
    <row r="96" spans="1:14" ht="51" hidden="1">
      <c r="A96">
        <v>35064937</v>
      </c>
      <c r="B96" s="1" t="s">
        <v>251</v>
      </c>
      <c r="C96" t="s">
        <v>252</v>
      </c>
      <c r="D96" t="s">
        <v>82</v>
      </c>
      <c r="E96">
        <v>2022</v>
      </c>
      <c r="L96"/>
      <c r="M96"/>
    </row>
    <row r="97" spans="1:5" customFormat="1" ht="51" hidden="1">
      <c r="A97">
        <v>36463540</v>
      </c>
      <c r="B97" s="1" t="s">
        <v>253</v>
      </c>
      <c r="C97" t="s">
        <v>254</v>
      </c>
      <c r="D97" t="s">
        <v>255</v>
      </c>
      <c r="E97">
        <v>2023</v>
      </c>
    </row>
    <row r="98" spans="1:5" customFormat="1" ht="51" hidden="1">
      <c r="A98">
        <v>32398770</v>
      </c>
      <c r="B98" s="1" t="s">
        <v>256</v>
      </c>
      <c r="C98" t="s">
        <v>257</v>
      </c>
      <c r="D98" t="s">
        <v>29</v>
      </c>
      <c r="E98">
        <v>2020</v>
      </c>
    </row>
    <row r="99" spans="1:5" customFormat="1" ht="17" hidden="1">
      <c r="A99">
        <v>33958773</v>
      </c>
      <c r="B99" s="1" t="s">
        <v>258</v>
      </c>
      <c r="C99" t="s">
        <v>259</v>
      </c>
      <c r="D99" t="s">
        <v>90</v>
      </c>
      <c r="E99">
        <v>2021</v>
      </c>
    </row>
    <row r="100" spans="1:5" customFormat="1" ht="68" hidden="1">
      <c r="A100">
        <v>38347632</v>
      </c>
      <c r="B100" s="1" t="s">
        <v>260</v>
      </c>
      <c r="C100" t="s">
        <v>261</v>
      </c>
      <c r="D100" t="s">
        <v>262</v>
      </c>
      <c r="E100">
        <v>2024</v>
      </c>
    </row>
    <row r="101" spans="1:5" customFormat="1" ht="51" hidden="1">
      <c r="A101">
        <v>34148064</v>
      </c>
      <c r="B101" s="1" t="s">
        <v>263</v>
      </c>
      <c r="C101" t="s">
        <v>264</v>
      </c>
      <c r="D101" t="s">
        <v>79</v>
      </c>
      <c r="E101">
        <v>2021</v>
      </c>
    </row>
    <row r="102" spans="1:5" customFormat="1" ht="34" hidden="1">
      <c r="A102">
        <v>34327334</v>
      </c>
      <c r="B102" s="1" t="s">
        <v>265</v>
      </c>
      <c r="C102" t="s">
        <v>266</v>
      </c>
      <c r="D102" t="s">
        <v>35</v>
      </c>
      <c r="E102">
        <v>2020</v>
      </c>
    </row>
    <row r="103" spans="1:5" customFormat="1" ht="51" hidden="1">
      <c r="A103">
        <v>37042117</v>
      </c>
      <c r="B103" s="1" t="s">
        <v>267</v>
      </c>
      <c r="C103" t="s">
        <v>268</v>
      </c>
      <c r="D103" t="s">
        <v>269</v>
      </c>
      <c r="E103">
        <v>2024</v>
      </c>
    </row>
    <row r="104" spans="1:5" customFormat="1" ht="51" hidden="1">
      <c r="A104">
        <v>39150521</v>
      </c>
      <c r="B104" s="1" t="s">
        <v>270</v>
      </c>
      <c r="C104" t="s">
        <v>271</v>
      </c>
      <c r="D104" t="s">
        <v>142</v>
      </c>
      <c r="E104">
        <v>2025</v>
      </c>
    </row>
    <row r="105" spans="1:5" customFormat="1" ht="51" hidden="1">
      <c r="A105">
        <v>35369652</v>
      </c>
      <c r="B105" s="1" t="s">
        <v>272</v>
      </c>
      <c r="C105" t="s">
        <v>273</v>
      </c>
      <c r="D105" t="s">
        <v>35</v>
      </c>
      <c r="E105">
        <v>2021</v>
      </c>
    </row>
    <row r="106" spans="1:5" customFormat="1" ht="34" hidden="1">
      <c r="A106">
        <v>38906652</v>
      </c>
      <c r="B106" s="1" t="s">
        <v>274</v>
      </c>
      <c r="C106" t="s">
        <v>275</v>
      </c>
      <c r="D106" t="s">
        <v>32</v>
      </c>
      <c r="E106">
        <v>2024</v>
      </c>
    </row>
    <row r="107" spans="1:5" customFormat="1" ht="51" hidden="1">
      <c r="A107">
        <v>35244702</v>
      </c>
      <c r="B107" s="1" t="s">
        <v>276</v>
      </c>
      <c r="C107" t="s">
        <v>277</v>
      </c>
      <c r="D107" t="s">
        <v>278</v>
      </c>
      <c r="E107">
        <v>2022</v>
      </c>
    </row>
    <row r="108" spans="1:5" customFormat="1" ht="51" hidden="1">
      <c r="A108">
        <v>39363241</v>
      </c>
      <c r="B108" s="1" t="s">
        <v>279</v>
      </c>
      <c r="C108" t="s">
        <v>280</v>
      </c>
      <c r="D108" t="s">
        <v>281</v>
      </c>
      <c r="E108">
        <v>2024</v>
      </c>
    </row>
    <row r="109" spans="1:5" customFormat="1" ht="34" hidden="1">
      <c r="A109">
        <v>32299846</v>
      </c>
      <c r="B109" s="1" t="s">
        <v>282</v>
      </c>
      <c r="C109" t="s">
        <v>283</v>
      </c>
      <c r="D109" t="s">
        <v>68</v>
      </c>
      <c r="E109">
        <v>2020</v>
      </c>
    </row>
    <row r="110" spans="1:5" customFormat="1" ht="51" hidden="1">
      <c r="A110">
        <v>32779812</v>
      </c>
      <c r="B110" s="1" t="s">
        <v>284</v>
      </c>
      <c r="C110" t="s">
        <v>285</v>
      </c>
      <c r="D110" t="s">
        <v>286</v>
      </c>
      <c r="E110">
        <v>2020</v>
      </c>
    </row>
    <row r="111" spans="1:5" customFormat="1" ht="51" hidden="1">
      <c r="A111">
        <v>39626636</v>
      </c>
      <c r="B111" s="1" t="s">
        <v>287</v>
      </c>
      <c r="C111" t="s">
        <v>288</v>
      </c>
      <c r="D111" t="s">
        <v>126</v>
      </c>
      <c r="E111">
        <v>2025</v>
      </c>
    </row>
    <row r="112" spans="1:5" customFormat="1" ht="68" hidden="1">
      <c r="A112">
        <v>38932496</v>
      </c>
      <c r="B112" s="1" t="s">
        <v>289</v>
      </c>
      <c r="C112" t="s">
        <v>290</v>
      </c>
      <c r="D112" t="s">
        <v>291</v>
      </c>
      <c r="E112">
        <v>2024</v>
      </c>
    </row>
    <row r="113" spans="1:14" ht="51" hidden="1">
      <c r="A113">
        <v>33407230</v>
      </c>
      <c r="B113" s="1" t="s">
        <v>292</v>
      </c>
      <c r="C113" t="s">
        <v>293</v>
      </c>
      <c r="D113" t="s">
        <v>60</v>
      </c>
      <c r="E113">
        <v>2021</v>
      </c>
      <c r="L113"/>
      <c r="M113"/>
    </row>
    <row r="114" spans="1:14" ht="34" hidden="1">
      <c r="A114">
        <v>37864521</v>
      </c>
      <c r="B114" s="1" t="s">
        <v>294</v>
      </c>
      <c r="C114" t="s">
        <v>295</v>
      </c>
      <c r="D114" t="s">
        <v>145</v>
      </c>
      <c r="E114">
        <v>2024</v>
      </c>
      <c r="L114"/>
      <c r="M114"/>
    </row>
    <row r="115" spans="1:14" ht="68" hidden="1">
      <c r="A115">
        <v>33693791</v>
      </c>
      <c r="B115" s="1" t="s">
        <v>296</v>
      </c>
      <c r="C115" t="s">
        <v>297</v>
      </c>
      <c r="D115" t="s">
        <v>192</v>
      </c>
      <c r="E115">
        <v>2021</v>
      </c>
      <c r="L115"/>
      <c r="M115"/>
    </row>
    <row r="116" spans="1:14" ht="34" hidden="1">
      <c r="A116">
        <v>32969247</v>
      </c>
      <c r="B116" s="1" t="s">
        <v>298</v>
      </c>
      <c r="C116" t="s">
        <v>299</v>
      </c>
      <c r="D116" t="s">
        <v>300</v>
      </c>
      <c r="E116">
        <v>2020</v>
      </c>
      <c r="L116"/>
      <c r="M116"/>
    </row>
    <row r="117" spans="1:14" ht="68" hidden="1">
      <c r="A117">
        <v>35429337</v>
      </c>
      <c r="B117" s="1" t="s">
        <v>301</v>
      </c>
      <c r="C117" t="s">
        <v>302</v>
      </c>
      <c r="D117" t="s">
        <v>222</v>
      </c>
      <c r="E117">
        <v>2022</v>
      </c>
      <c r="L117"/>
      <c r="M117"/>
    </row>
    <row r="118" spans="1:14" ht="51" hidden="1">
      <c r="A118">
        <v>38547852</v>
      </c>
      <c r="B118" s="1" t="s">
        <v>303</v>
      </c>
      <c r="C118" t="s">
        <v>304</v>
      </c>
      <c r="D118" t="s">
        <v>305</v>
      </c>
      <c r="E118">
        <v>2024</v>
      </c>
      <c r="L118"/>
      <c r="M118"/>
    </row>
    <row r="119" spans="1:14" ht="51" hidden="1">
      <c r="A119">
        <v>39143076</v>
      </c>
      <c r="B119" s="1" t="s">
        <v>306</v>
      </c>
      <c r="C119" t="s">
        <v>307</v>
      </c>
      <c r="D119" t="s">
        <v>308</v>
      </c>
      <c r="E119">
        <v>2024</v>
      </c>
      <c r="L119"/>
      <c r="M119"/>
    </row>
    <row r="120" spans="1:14" ht="68" hidden="1">
      <c r="A120">
        <v>37228720</v>
      </c>
      <c r="B120" s="1" t="s">
        <v>309</v>
      </c>
      <c r="C120" t="s">
        <v>310</v>
      </c>
      <c r="D120" t="s">
        <v>176</v>
      </c>
      <c r="E120">
        <v>2023</v>
      </c>
      <c r="L120"/>
      <c r="M120"/>
    </row>
    <row r="121" spans="1:14" ht="34" hidden="1">
      <c r="A121">
        <v>34628264</v>
      </c>
      <c r="B121" s="1" t="s">
        <v>311</v>
      </c>
      <c r="C121" t="s">
        <v>312</v>
      </c>
      <c r="D121" t="s">
        <v>313</v>
      </c>
      <c r="E121">
        <v>2021</v>
      </c>
      <c r="L121"/>
      <c r="M121"/>
    </row>
    <row r="122" spans="1:14" ht="51" hidden="1">
      <c r="A122">
        <v>36547129</v>
      </c>
      <c r="B122" s="1" t="s">
        <v>314</v>
      </c>
      <c r="C122" t="s">
        <v>315</v>
      </c>
      <c r="D122" t="s">
        <v>316</v>
      </c>
      <c r="E122">
        <v>2022</v>
      </c>
      <c r="L122"/>
      <c r="M122"/>
    </row>
    <row r="123" spans="1:14" ht="51">
      <c r="A123">
        <v>40533884</v>
      </c>
      <c r="B123" s="1" t="s">
        <v>317</v>
      </c>
      <c r="C123" t="s">
        <v>318</v>
      </c>
      <c r="D123" t="s">
        <v>82</v>
      </c>
      <c r="E123">
        <v>2026</v>
      </c>
      <c r="F123">
        <v>1</v>
      </c>
      <c r="G123">
        <v>692</v>
      </c>
      <c r="H123" t="s">
        <v>473</v>
      </c>
      <c r="I123" t="s">
        <v>501</v>
      </c>
      <c r="J123" t="s">
        <v>502</v>
      </c>
      <c r="K123" t="s">
        <v>504</v>
      </c>
      <c r="L123" s="1" t="s">
        <v>505</v>
      </c>
      <c r="M123" s="1" t="s">
        <v>503</v>
      </c>
      <c r="N123" t="s">
        <v>473</v>
      </c>
    </row>
    <row r="124" spans="1:14" ht="68" hidden="1">
      <c r="A124">
        <v>34923958</v>
      </c>
      <c r="B124" s="1" t="s">
        <v>319</v>
      </c>
      <c r="C124" t="s">
        <v>320</v>
      </c>
      <c r="D124" t="s">
        <v>60</v>
      </c>
      <c r="E124">
        <v>2021</v>
      </c>
      <c r="L124"/>
      <c r="M124"/>
    </row>
    <row r="125" spans="1:14" ht="34" hidden="1">
      <c r="A125">
        <v>39832277</v>
      </c>
      <c r="B125" s="1" t="s">
        <v>321</v>
      </c>
      <c r="C125" t="s">
        <v>322</v>
      </c>
      <c r="D125" t="s">
        <v>323</v>
      </c>
      <c r="E125">
        <v>2025</v>
      </c>
      <c r="L125"/>
      <c r="M125"/>
    </row>
    <row r="126" spans="1:14" ht="51" hidden="1">
      <c r="A126">
        <v>31999492</v>
      </c>
      <c r="B126" s="1" t="s">
        <v>324</v>
      </c>
      <c r="C126" t="s">
        <v>325</v>
      </c>
      <c r="D126" t="s">
        <v>326</v>
      </c>
      <c r="E126">
        <v>2020</v>
      </c>
      <c r="L126"/>
      <c r="M126"/>
    </row>
    <row r="127" spans="1:14" ht="34" hidden="1">
      <c r="A127">
        <v>32723786</v>
      </c>
      <c r="B127" s="1" t="s">
        <v>327</v>
      </c>
      <c r="C127" t="s">
        <v>328</v>
      </c>
      <c r="D127" t="s">
        <v>329</v>
      </c>
      <c r="E127">
        <v>2020</v>
      </c>
      <c r="L127"/>
      <c r="M127"/>
    </row>
    <row r="128" spans="1:14" ht="51" hidden="1">
      <c r="A128">
        <v>33107440</v>
      </c>
      <c r="B128" s="1" t="s">
        <v>330</v>
      </c>
      <c r="C128" t="s">
        <v>331</v>
      </c>
      <c r="D128" t="s">
        <v>332</v>
      </c>
      <c r="E128">
        <v>2020</v>
      </c>
      <c r="L128"/>
      <c r="M128"/>
    </row>
    <row r="129" spans="1:5" customFormat="1" ht="85" hidden="1">
      <c r="A129">
        <v>30953057</v>
      </c>
      <c r="B129" s="1" t="s">
        <v>333</v>
      </c>
      <c r="C129" t="s">
        <v>334</v>
      </c>
      <c r="D129" t="s">
        <v>335</v>
      </c>
      <c r="E129">
        <v>2020</v>
      </c>
    </row>
    <row r="130" spans="1:5" customFormat="1" ht="51" hidden="1">
      <c r="A130">
        <v>37468236</v>
      </c>
      <c r="B130" s="1" t="s">
        <v>336</v>
      </c>
      <c r="C130" t="s">
        <v>337</v>
      </c>
      <c r="D130" t="s">
        <v>338</v>
      </c>
      <c r="E130">
        <v>2023</v>
      </c>
    </row>
    <row r="131" spans="1:5" customFormat="1" ht="34" hidden="1">
      <c r="A131">
        <v>32803290</v>
      </c>
      <c r="B131" s="1" t="s">
        <v>339</v>
      </c>
      <c r="C131" t="s">
        <v>340</v>
      </c>
      <c r="D131" t="s">
        <v>341</v>
      </c>
      <c r="E131">
        <v>2021</v>
      </c>
    </row>
    <row r="132" spans="1:5" customFormat="1" ht="68" hidden="1">
      <c r="A132">
        <v>38609702</v>
      </c>
      <c r="B132" s="1" t="s">
        <v>342</v>
      </c>
      <c r="C132" t="s">
        <v>343</v>
      </c>
      <c r="D132" t="s">
        <v>344</v>
      </c>
      <c r="E132">
        <v>2024</v>
      </c>
    </row>
    <row r="133" spans="1:5" customFormat="1" ht="68" hidden="1">
      <c r="A133">
        <v>32600054</v>
      </c>
      <c r="B133" s="1" t="s">
        <v>345</v>
      </c>
      <c r="C133" t="s">
        <v>346</v>
      </c>
      <c r="D133" t="s">
        <v>347</v>
      </c>
      <c r="E133">
        <v>2020</v>
      </c>
    </row>
    <row r="134" spans="1:5" customFormat="1" ht="34" hidden="1">
      <c r="A134">
        <v>32828237</v>
      </c>
      <c r="B134" s="1" t="s">
        <v>348</v>
      </c>
      <c r="C134" t="s">
        <v>349</v>
      </c>
      <c r="D134" t="s">
        <v>32</v>
      </c>
      <c r="E134">
        <v>2020</v>
      </c>
    </row>
    <row r="135" spans="1:5" customFormat="1" ht="68" hidden="1">
      <c r="A135">
        <v>39107157</v>
      </c>
      <c r="B135" s="1" t="s">
        <v>350</v>
      </c>
      <c r="C135" t="s">
        <v>351</v>
      </c>
      <c r="D135" t="s">
        <v>352</v>
      </c>
      <c r="E135">
        <v>2024</v>
      </c>
    </row>
    <row r="136" spans="1:5" customFormat="1" ht="34" hidden="1">
      <c r="A136">
        <v>33534524</v>
      </c>
      <c r="B136" s="1" t="s">
        <v>353</v>
      </c>
      <c r="C136" t="s">
        <v>354</v>
      </c>
      <c r="D136" t="s">
        <v>104</v>
      </c>
      <c r="E136">
        <v>2021</v>
      </c>
    </row>
    <row r="137" spans="1:5" customFormat="1" ht="68" hidden="1">
      <c r="A137">
        <v>34197840</v>
      </c>
      <c r="B137" s="1" t="s">
        <v>355</v>
      </c>
      <c r="C137" t="s">
        <v>356</v>
      </c>
      <c r="D137" t="s">
        <v>32</v>
      </c>
      <c r="E137">
        <v>2021</v>
      </c>
    </row>
    <row r="138" spans="1:5" customFormat="1" ht="51" hidden="1">
      <c r="A138">
        <v>32334565</v>
      </c>
      <c r="B138" s="1" t="s">
        <v>357</v>
      </c>
      <c r="C138" t="s">
        <v>358</v>
      </c>
      <c r="D138" t="s">
        <v>60</v>
      </c>
      <c r="E138">
        <v>2020</v>
      </c>
    </row>
    <row r="139" spans="1:5" customFormat="1" ht="51" hidden="1">
      <c r="A139">
        <v>36782285</v>
      </c>
      <c r="B139" s="1" t="s">
        <v>359</v>
      </c>
      <c r="C139" t="s">
        <v>360</v>
      </c>
      <c r="D139" t="s">
        <v>361</v>
      </c>
      <c r="E139">
        <v>2023</v>
      </c>
    </row>
    <row r="140" spans="1:5" customFormat="1" ht="68" hidden="1">
      <c r="A140">
        <v>35314744</v>
      </c>
      <c r="B140" s="1" t="s">
        <v>362</v>
      </c>
      <c r="C140" t="s">
        <v>363</v>
      </c>
      <c r="D140" t="s">
        <v>85</v>
      </c>
      <c r="E140">
        <v>2022</v>
      </c>
    </row>
    <row r="141" spans="1:5" customFormat="1" ht="51" hidden="1">
      <c r="A141">
        <v>38574989</v>
      </c>
      <c r="B141" s="1" t="s">
        <v>364</v>
      </c>
      <c r="C141" t="s">
        <v>365</v>
      </c>
      <c r="D141" t="s">
        <v>366</v>
      </c>
      <c r="E141">
        <v>2024</v>
      </c>
    </row>
    <row r="142" spans="1:5" customFormat="1" ht="51" hidden="1">
      <c r="A142">
        <v>31852011</v>
      </c>
      <c r="B142" s="1" t="s">
        <v>367</v>
      </c>
      <c r="C142" t="s">
        <v>368</v>
      </c>
      <c r="D142" t="s">
        <v>369</v>
      </c>
      <c r="E142">
        <v>2020</v>
      </c>
    </row>
    <row r="143" spans="1:5" customFormat="1" ht="51" hidden="1">
      <c r="A143">
        <v>33107222</v>
      </c>
      <c r="B143" s="1" t="s">
        <v>370</v>
      </c>
      <c r="C143" t="s">
        <v>371</v>
      </c>
      <c r="D143" t="s">
        <v>372</v>
      </c>
      <c r="E143">
        <v>2021</v>
      </c>
    </row>
    <row r="144" spans="1:5" customFormat="1" ht="51" hidden="1">
      <c r="A144">
        <v>31992108</v>
      </c>
      <c r="B144" s="1" t="s">
        <v>373</v>
      </c>
      <c r="C144" t="s">
        <v>374</v>
      </c>
      <c r="D144" t="s">
        <v>375</v>
      </c>
      <c r="E144">
        <v>2020</v>
      </c>
    </row>
    <row r="145" spans="1:5" customFormat="1" ht="51" hidden="1">
      <c r="A145">
        <v>32661119</v>
      </c>
      <c r="B145" s="1" t="s">
        <v>376</v>
      </c>
      <c r="C145" t="s">
        <v>377</v>
      </c>
      <c r="D145" t="s">
        <v>378</v>
      </c>
      <c r="E145">
        <v>2020</v>
      </c>
    </row>
    <row r="146" spans="1:5" customFormat="1" ht="51" hidden="1">
      <c r="A146">
        <v>38678107</v>
      </c>
      <c r="B146" s="1" t="s">
        <v>379</v>
      </c>
      <c r="C146" t="s">
        <v>380</v>
      </c>
      <c r="D146" t="s">
        <v>85</v>
      </c>
      <c r="E146">
        <v>2024</v>
      </c>
    </row>
    <row r="147" spans="1:5" customFormat="1" ht="34" hidden="1">
      <c r="A147">
        <v>37574436</v>
      </c>
      <c r="B147" s="1" t="s">
        <v>381</v>
      </c>
      <c r="C147" t="s">
        <v>382</v>
      </c>
      <c r="D147" t="s">
        <v>352</v>
      </c>
      <c r="E147">
        <v>2024</v>
      </c>
    </row>
    <row r="148" spans="1:5" customFormat="1" ht="68" hidden="1">
      <c r="A148">
        <v>34237133</v>
      </c>
      <c r="B148" s="1" t="s">
        <v>383</v>
      </c>
      <c r="C148" t="s">
        <v>384</v>
      </c>
      <c r="D148" t="s">
        <v>385</v>
      </c>
      <c r="E148">
        <v>2021</v>
      </c>
    </row>
    <row r="149" spans="1:5" customFormat="1" ht="34" hidden="1">
      <c r="A149">
        <v>33087822</v>
      </c>
      <c r="B149" s="1" t="s">
        <v>386</v>
      </c>
      <c r="C149" t="s">
        <v>387</v>
      </c>
      <c r="D149" t="s">
        <v>85</v>
      </c>
      <c r="E149">
        <v>2020</v>
      </c>
    </row>
    <row r="150" spans="1:5" customFormat="1" ht="68" hidden="1">
      <c r="A150">
        <v>33861738</v>
      </c>
      <c r="B150" s="1" t="s">
        <v>388</v>
      </c>
      <c r="C150" t="s">
        <v>389</v>
      </c>
      <c r="D150" t="s">
        <v>159</v>
      </c>
      <c r="E150">
        <v>2021</v>
      </c>
    </row>
    <row r="151" spans="1:5" customFormat="1" ht="51" hidden="1">
      <c r="A151">
        <v>33048330</v>
      </c>
      <c r="B151" s="1" t="s">
        <v>390</v>
      </c>
      <c r="C151" t="s">
        <v>391</v>
      </c>
      <c r="D151" t="s">
        <v>392</v>
      </c>
      <c r="E151">
        <v>2021</v>
      </c>
    </row>
    <row r="152" spans="1:5" customFormat="1" ht="68" hidden="1">
      <c r="A152">
        <v>32673684</v>
      </c>
      <c r="B152" s="1" t="s">
        <v>393</v>
      </c>
      <c r="C152" t="s">
        <v>394</v>
      </c>
      <c r="D152" t="s">
        <v>395</v>
      </c>
      <c r="E152">
        <v>2020</v>
      </c>
    </row>
    <row r="153" spans="1:5" customFormat="1" ht="51" hidden="1">
      <c r="A153">
        <v>35977080</v>
      </c>
      <c r="B153" s="1" t="s">
        <v>396</v>
      </c>
      <c r="C153" t="s">
        <v>397</v>
      </c>
      <c r="D153" t="s">
        <v>398</v>
      </c>
      <c r="E153">
        <v>2022</v>
      </c>
    </row>
    <row r="154" spans="1:5" customFormat="1" ht="68" hidden="1">
      <c r="A154">
        <v>38886300</v>
      </c>
      <c r="B154" s="1" t="s">
        <v>399</v>
      </c>
      <c r="C154" t="s">
        <v>400</v>
      </c>
      <c r="D154" t="s">
        <v>401</v>
      </c>
      <c r="E154">
        <v>2024</v>
      </c>
    </row>
    <row r="155" spans="1:5" customFormat="1" ht="68" hidden="1">
      <c r="A155">
        <v>34358382</v>
      </c>
      <c r="B155" s="1" t="s">
        <v>402</v>
      </c>
      <c r="C155" t="s">
        <v>403</v>
      </c>
      <c r="D155" t="s">
        <v>404</v>
      </c>
      <c r="E155">
        <v>2021</v>
      </c>
    </row>
    <row r="156" spans="1:5" customFormat="1" ht="51" hidden="1">
      <c r="A156">
        <v>34654685</v>
      </c>
      <c r="B156" s="1" t="s">
        <v>405</v>
      </c>
      <c r="C156" t="s">
        <v>406</v>
      </c>
      <c r="D156" t="s">
        <v>407</v>
      </c>
      <c r="E156">
        <v>2021</v>
      </c>
    </row>
    <row r="157" spans="1:5" customFormat="1" ht="51" hidden="1">
      <c r="A157">
        <v>32176594</v>
      </c>
      <c r="B157" s="1" t="s">
        <v>408</v>
      </c>
      <c r="C157" t="s">
        <v>409</v>
      </c>
      <c r="D157" t="s">
        <v>96</v>
      </c>
      <c r="E157">
        <v>2020</v>
      </c>
    </row>
    <row r="158" spans="1:5" customFormat="1" ht="51" hidden="1">
      <c r="A158">
        <v>39913368</v>
      </c>
      <c r="B158" s="1" t="s">
        <v>410</v>
      </c>
      <c r="C158" t="s">
        <v>411</v>
      </c>
      <c r="D158" t="s">
        <v>159</v>
      </c>
      <c r="E158">
        <v>2025</v>
      </c>
    </row>
    <row r="159" spans="1:5" customFormat="1" ht="51" hidden="1">
      <c r="A159">
        <v>37349938</v>
      </c>
      <c r="B159" s="1" t="s">
        <v>412</v>
      </c>
      <c r="C159" t="s">
        <v>413</v>
      </c>
      <c r="D159" t="s">
        <v>82</v>
      </c>
      <c r="E159">
        <v>2023</v>
      </c>
    </row>
    <row r="160" spans="1:5" customFormat="1" ht="51" hidden="1">
      <c r="A160">
        <v>31764220</v>
      </c>
      <c r="B160" s="1" t="s">
        <v>414</v>
      </c>
      <c r="C160" t="s">
        <v>415</v>
      </c>
      <c r="D160" t="s">
        <v>231</v>
      </c>
      <c r="E160">
        <v>2020</v>
      </c>
    </row>
    <row r="161" spans="1:5" customFormat="1" ht="34" hidden="1">
      <c r="A161">
        <v>36253912</v>
      </c>
      <c r="B161" s="1" t="s">
        <v>416</v>
      </c>
      <c r="C161" t="s">
        <v>417</v>
      </c>
      <c r="D161" t="s">
        <v>104</v>
      </c>
      <c r="E161">
        <v>2023</v>
      </c>
    </row>
    <row r="162" spans="1:5" customFormat="1" ht="68" hidden="1">
      <c r="A162">
        <v>35763031</v>
      </c>
      <c r="B162" s="1" t="s">
        <v>418</v>
      </c>
      <c r="C162" t="s">
        <v>419</v>
      </c>
      <c r="D162" t="s">
        <v>420</v>
      </c>
      <c r="E162">
        <v>2022</v>
      </c>
    </row>
    <row r="163" spans="1:5" customFormat="1" ht="68" hidden="1">
      <c r="A163">
        <v>35655039</v>
      </c>
      <c r="B163" s="1" t="s">
        <v>421</v>
      </c>
      <c r="C163" t="s">
        <v>422</v>
      </c>
      <c r="D163" t="s">
        <v>142</v>
      </c>
      <c r="E163">
        <v>2023</v>
      </c>
    </row>
    <row r="164" spans="1:5" customFormat="1" ht="51" hidden="1">
      <c r="A164">
        <v>35264217</v>
      </c>
      <c r="B164" s="1" t="s">
        <v>423</v>
      </c>
      <c r="C164" t="s">
        <v>424</v>
      </c>
      <c r="D164" t="s">
        <v>425</v>
      </c>
      <c r="E164">
        <v>2022</v>
      </c>
    </row>
    <row r="165" spans="1:5" customFormat="1" ht="51" hidden="1">
      <c r="A165">
        <v>33111320</v>
      </c>
      <c r="B165" s="1" t="s">
        <v>426</v>
      </c>
      <c r="C165" t="s">
        <v>427</v>
      </c>
      <c r="D165" t="s">
        <v>82</v>
      </c>
      <c r="E165">
        <v>2021</v>
      </c>
    </row>
    <row r="166" spans="1:5" customFormat="1" ht="51" hidden="1">
      <c r="A166">
        <v>32968206</v>
      </c>
      <c r="B166" s="1" t="s">
        <v>428</v>
      </c>
      <c r="C166" t="s">
        <v>429</v>
      </c>
      <c r="D166" t="s">
        <v>167</v>
      </c>
      <c r="E166">
        <v>2020</v>
      </c>
    </row>
    <row r="167" spans="1:5" customFormat="1" ht="51" hidden="1">
      <c r="A167">
        <v>31513279</v>
      </c>
      <c r="B167" s="1" t="s">
        <v>430</v>
      </c>
      <c r="C167" t="s">
        <v>431</v>
      </c>
      <c r="D167" t="s">
        <v>432</v>
      </c>
      <c r="E167">
        <v>2020</v>
      </c>
    </row>
    <row r="168" spans="1:5" customFormat="1" ht="68" hidden="1">
      <c r="A168">
        <v>37358729</v>
      </c>
      <c r="B168" s="1" t="s">
        <v>433</v>
      </c>
      <c r="C168" t="s">
        <v>434</v>
      </c>
      <c r="D168" t="s">
        <v>24</v>
      </c>
      <c r="E168">
        <v>2023</v>
      </c>
    </row>
    <row r="169" spans="1:5" customFormat="1" ht="51" hidden="1">
      <c r="A169">
        <v>35017463</v>
      </c>
      <c r="B169" s="1" t="s">
        <v>435</v>
      </c>
      <c r="C169" t="s">
        <v>436</v>
      </c>
      <c r="D169" t="s">
        <v>437</v>
      </c>
      <c r="E169">
        <v>2022</v>
      </c>
    </row>
    <row r="170" spans="1:5" customFormat="1" ht="51" hidden="1">
      <c r="A170">
        <v>38032814</v>
      </c>
      <c r="B170" s="1" t="s">
        <v>438</v>
      </c>
      <c r="C170" t="s">
        <v>439</v>
      </c>
      <c r="D170" t="s">
        <v>35</v>
      </c>
      <c r="E170">
        <v>2023</v>
      </c>
    </row>
    <row r="171" spans="1:5" customFormat="1" ht="51" hidden="1">
      <c r="A171">
        <v>32060504</v>
      </c>
      <c r="B171" s="1" t="s">
        <v>440</v>
      </c>
      <c r="C171" t="s">
        <v>441</v>
      </c>
      <c r="D171" t="s">
        <v>442</v>
      </c>
      <c r="E171">
        <v>2020</v>
      </c>
    </row>
    <row r="172" spans="1:5" customFormat="1" ht="51" hidden="1">
      <c r="A172">
        <v>34980496</v>
      </c>
      <c r="B172" s="1" t="s">
        <v>443</v>
      </c>
      <c r="C172" t="s">
        <v>444</v>
      </c>
      <c r="D172" t="s">
        <v>445</v>
      </c>
      <c r="E172">
        <v>2022</v>
      </c>
    </row>
    <row r="173" spans="1:5" customFormat="1" ht="51" hidden="1">
      <c r="A173">
        <v>38327067</v>
      </c>
      <c r="B173" s="1" t="s">
        <v>446</v>
      </c>
      <c r="C173" t="s">
        <v>447</v>
      </c>
      <c r="D173" t="s">
        <v>448</v>
      </c>
      <c r="E173">
        <v>2024</v>
      </c>
    </row>
    <row r="174" spans="1:5" customFormat="1" ht="51" hidden="1">
      <c r="A174">
        <v>36292688</v>
      </c>
      <c r="B174" s="1" t="s">
        <v>449</v>
      </c>
      <c r="C174" t="s">
        <v>450</v>
      </c>
      <c r="D174" t="s">
        <v>93</v>
      </c>
      <c r="E174">
        <v>2022</v>
      </c>
    </row>
    <row r="175" spans="1:5" customFormat="1" ht="51" hidden="1">
      <c r="A175">
        <v>32659871</v>
      </c>
      <c r="B175" s="1" t="s">
        <v>451</v>
      </c>
      <c r="C175" t="s">
        <v>452</v>
      </c>
      <c r="D175" t="s">
        <v>123</v>
      </c>
      <c r="E175">
        <v>2021</v>
      </c>
    </row>
    <row r="176" spans="1:5" customFormat="1" ht="17" hidden="1">
      <c r="A176">
        <v>32358593</v>
      </c>
      <c r="B176" s="1" t="s">
        <v>453</v>
      </c>
      <c r="C176" t="s">
        <v>454</v>
      </c>
      <c r="D176" t="s">
        <v>90</v>
      </c>
      <c r="E176">
        <v>2020</v>
      </c>
    </row>
    <row r="177" spans="1:5" customFormat="1" ht="51" hidden="1">
      <c r="A177">
        <v>38752978</v>
      </c>
      <c r="B177" s="1" t="s">
        <v>455</v>
      </c>
      <c r="C177" t="s">
        <v>456</v>
      </c>
      <c r="D177" t="s">
        <v>457</v>
      </c>
      <c r="E177">
        <v>2024</v>
      </c>
    </row>
    <row r="178" spans="1:5" customFormat="1" ht="34" hidden="1">
      <c r="A178">
        <v>33275263</v>
      </c>
      <c r="B178" s="1" t="s">
        <v>458</v>
      </c>
      <c r="C178" t="s">
        <v>459</v>
      </c>
      <c r="D178" t="s">
        <v>460</v>
      </c>
      <c r="E178">
        <v>2020</v>
      </c>
    </row>
    <row r="179" spans="1:5" customFormat="1" ht="51" hidden="1">
      <c r="A179">
        <v>32211780</v>
      </c>
      <c r="B179" s="1" t="s">
        <v>461</v>
      </c>
      <c r="C179" t="s">
        <v>462</v>
      </c>
      <c r="D179" t="s">
        <v>323</v>
      </c>
      <c r="E179">
        <v>2020</v>
      </c>
    </row>
    <row r="180" spans="1:5" customFormat="1" ht="34" hidden="1">
      <c r="A180">
        <v>34558169</v>
      </c>
      <c r="B180" s="1" t="s">
        <v>463</v>
      </c>
      <c r="C180" t="s">
        <v>464</v>
      </c>
      <c r="D180" t="s">
        <v>465</v>
      </c>
      <c r="E180">
        <v>2022</v>
      </c>
    </row>
  </sheetData>
  <autoFilter ref="A1:N180" xr:uid="{73CCE44A-5414-404E-A419-00AC61B8F7E5}">
    <filterColumn colId="5">
      <filters>
        <filter val="1"/>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4E8A-015E-5545-964F-589B1BE15133}">
  <dimension ref="A1:L180"/>
  <sheetViews>
    <sheetView topLeftCell="A138" zoomScale="156" workbookViewId="0">
      <selection activeCell="F2" sqref="F2"/>
    </sheetView>
  </sheetViews>
  <sheetFormatPr baseColWidth="10" defaultRowHeight="16"/>
  <cols>
    <col min="2" max="2" width="50.5" customWidth="1"/>
    <col min="9" max="9" width="11.6640625" customWidth="1"/>
    <col min="10" max="10" width="33.1640625" customWidth="1"/>
  </cols>
  <sheetData>
    <row r="1" spans="1:12">
      <c r="A1" t="s">
        <v>510</v>
      </c>
      <c r="B1" t="s">
        <v>511</v>
      </c>
      <c r="C1" t="s">
        <v>512</v>
      </c>
      <c r="D1" t="s">
        <v>513</v>
      </c>
      <c r="E1" t="s">
        <v>514</v>
      </c>
      <c r="F1" t="s">
        <v>515</v>
      </c>
      <c r="G1" t="s">
        <v>516</v>
      </c>
      <c r="H1" t="s">
        <v>517</v>
      </c>
      <c r="I1" t="s">
        <v>518</v>
      </c>
      <c r="J1" t="s">
        <v>519</v>
      </c>
      <c r="K1" t="s">
        <v>520</v>
      </c>
      <c r="L1" t="s">
        <v>521</v>
      </c>
    </row>
    <row r="2" spans="1:12">
      <c r="A2">
        <v>33532864</v>
      </c>
      <c r="B2" t="s">
        <v>5</v>
      </c>
      <c r="C2">
        <v>2022</v>
      </c>
      <c r="D2" t="s">
        <v>522</v>
      </c>
      <c r="E2">
        <v>0</v>
      </c>
      <c r="F2" t="s">
        <v>523</v>
      </c>
      <c r="G2">
        <v>0</v>
      </c>
      <c r="I2" t="s">
        <v>523</v>
      </c>
      <c r="J2" t="str">
        <f t="shared" ref="J2:J33" si="0">IF(F2=("exclude"), ("Not renal genetic testing study"))</f>
        <v>Not renal genetic testing study</v>
      </c>
      <c r="K2" t="s">
        <v>524</v>
      </c>
    </row>
    <row r="3" spans="1:12">
      <c r="A3">
        <v>37400792</v>
      </c>
      <c r="B3" t="s">
        <v>8</v>
      </c>
      <c r="C3">
        <v>2023</v>
      </c>
      <c r="D3" t="s">
        <v>522</v>
      </c>
      <c r="E3">
        <v>0</v>
      </c>
      <c r="F3" t="s">
        <v>523</v>
      </c>
      <c r="G3">
        <v>0</v>
      </c>
      <c r="I3" t="s">
        <v>523</v>
      </c>
      <c r="J3" t="str">
        <f t="shared" si="0"/>
        <v>Not renal genetic testing study</v>
      </c>
      <c r="K3" t="s">
        <v>525</v>
      </c>
    </row>
    <row r="4" spans="1:12">
      <c r="A4">
        <v>37261792</v>
      </c>
      <c r="B4" t="s">
        <v>11</v>
      </c>
      <c r="C4">
        <v>2023</v>
      </c>
      <c r="D4" t="s">
        <v>522</v>
      </c>
      <c r="E4">
        <v>0</v>
      </c>
      <c r="F4" t="s">
        <v>523</v>
      </c>
      <c r="G4">
        <v>0</v>
      </c>
      <c r="I4" t="s">
        <v>523</v>
      </c>
      <c r="J4" t="str">
        <f t="shared" si="0"/>
        <v>Not renal genetic testing study</v>
      </c>
      <c r="K4" t="s">
        <v>526</v>
      </c>
    </row>
    <row r="5" spans="1:12">
      <c r="A5">
        <v>34264297</v>
      </c>
      <c r="B5" t="s">
        <v>17</v>
      </c>
      <c r="C5">
        <v>2022</v>
      </c>
      <c r="D5" t="s">
        <v>522</v>
      </c>
      <c r="E5">
        <v>0</v>
      </c>
      <c r="F5" t="s">
        <v>523</v>
      </c>
      <c r="G5">
        <v>0</v>
      </c>
      <c r="I5" t="s">
        <v>523</v>
      </c>
      <c r="J5" t="str">
        <f t="shared" si="0"/>
        <v>Not renal genetic testing study</v>
      </c>
      <c r="K5" t="s">
        <v>529</v>
      </c>
    </row>
    <row r="6" spans="1:12">
      <c r="A6">
        <v>38797326</v>
      </c>
      <c r="B6" t="s">
        <v>39</v>
      </c>
      <c r="C6">
        <v>2024</v>
      </c>
      <c r="D6" t="s">
        <v>522</v>
      </c>
      <c r="E6">
        <v>0</v>
      </c>
      <c r="F6" t="s">
        <v>523</v>
      </c>
      <c r="G6">
        <v>0</v>
      </c>
      <c r="I6" t="s">
        <v>523</v>
      </c>
      <c r="J6" t="str">
        <f t="shared" si="0"/>
        <v>Not renal genetic testing study</v>
      </c>
      <c r="K6" t="s">
        <v>537</v>
      </c>
    </row>
    <row r="7" spans="1:12">
      <c r="A7">
        <v>38104198</v>
      </c>
      <c r="B7" t="s">
        <v>41</v>
      </c>
      <c r="C7">
        <v>2023</v>
      </c>
      <c r="D7" t="s">
        <v>522</v>
      </c>
      <c r="E7">
        <v>0</v>
      </c>
      <c r="F7" t="s">
        <v>523</v>
      </c>
      <c r="G7">
        <v>0</v>
      </c>
      <c r="I7" t="s">
        <v>523</v>
      </c>
      <c r="J7" t="str">
        <f t="shared" si="0"/>
        <v>Not renal genetic testing study</v>
      </c>
      <c r="K7" t="s">
        <v>538</v>
      </c>
    </row>
    <row r="8" spans="1:12">
      <c r="A8">
        <v>37126668</v>
      </c>
      <c r="B8" t="s">
        <v>44</v>
      </c>
      <c r="C8">
        <v>2023</v>
      </c>
      <c r="D8" t="s">
        <v>522</v>
      </c>
      <c r="E8">
        <v>0</v>
      </c>
      <c r="F8" t="s">
        <v>523</v>
      </c>
      <c r="G8">
        <v>0</v>
      </c>
      <c r="I8" t="s">
        <v>523</v>
      </c>
      <c r="J8" t="str">
        <f t="shared" si="0"/>
        <v>Not renal genetic testing study</v>
      </c>
      <c r="K8" t="s">
        <v>539</v>
      </c>
    </row>
    <row r="9" spans="1:12">
      <c r="A9">
        <v>38671320</v>
      </c>
      <c r="B9" t="s">
        <v>46</v>
      </c>
      <c r="C9">
        <v>2024</v>
      </c>
      <c r="D9" t="s">
        <v>522</v>
      </c>
      <c r="E9">
        <v>0</v>
      </c>
      <c r="F9" t="s">
        <v>523</v>
      </c>
      <c r="G9">
        <v>0</v>
      </c>
      <c r="I9" t="s">
        <v>523</v>
      </c>
      <c r="J9" t="str">
        <f t="shared" si="0"/>
        <v>Not renal genetic testing study</v>
      </c>
      <c r="K9" t="s">
        <v>540</v>
      </c>
    </row>
    <row r="10" spans="1:12">
      <c r="A10">
        <v>35229136</v>
      </c>
      <c r="B10" t="s">
        <v>49</v>
      </c>
      <c r="C10">
        <v>2022</v>
      </c>
      <c r="D10" t="s">
        <v>522</v>
      </c>
      <c r="E10">
        <v>0</v>
      </c>
      <c r="F10" t="s">
        <v>523</v>
      </c>
      <c r="G10">
        <v>0</v>
      </c>
      <c r="I10" t="s">
        <v>523</v>
      </c>
      <c r="J10" t="str">
        <f t="shared" si="0"/>
        <v>Not renal genetic testing study</v>
      </c>
      <c r="K10" t="s">
        <v>541</v>
      </c>
    </row>
    <row r="11" spans="1:12">
      <c r="A11">
        <v>35994232</v>
      </c>
      <c r="B11" t="s">
        <v>56</v>
      </c>
      <c r="C11">
        <v>2023</v>
      </c>
      <c r="D11" t="s">
        <v>522</v>
      </c>
      <c r="E11">
        <v>0</v>
      </c>
      <c r="F11" t="s">
        <v>523</v>
      </c>
      <c r="G11">
        <v>0</v>
      </c>
      <c r="I11" t="s">
        <v>523</v>
      </c>
      <c r="J11" t="str">
        <f t="shared" si="0"/>
        <v>Not renal genetic testing study</v>
      </c>
      <c r="K11" t="s">
        <v>544</v>
      </c>
    </row>
    <row r="12" spans="1:12">
      <c r="A12">
        <v>39138396</v>
      </c>
      <c r="B12" t="s">
        <v>58</v>
      </c>
      <c r="C12">
        <v>2024</v>
      </c>
      <c r="D12" t="s">
        <v>522</v>
      </c>
      <c r="E12">
        <v>0</v>
      </c>
      <c r="F12" t="s">
        <v>523</v>
      </c>
      <c r="G12">
        <v>0</v>
      </c>
      <c r="I12" t="s">
        <v>523</v>
      </c>
      <c r="J12" t="str">
        <f t="shared" si="0"/>
        <v>Not renal genetic testing study</v>
      </c>
      <c r="K12" t="s">
        <v>545</v>
      </c>
    </row>
    <row r="13" spans="1:12">
      <c r="A13">
        <v>34519781</v>
      </c>
      <c r="B13" t="s">
        <v>64</v>
      </c>
      <c r="C13">
        <v>2023</v>
      </c>
      <c r="D13" t="s">
        <v>522</v>
      </c>
      <c r="E13">
        <v>0</v>
      </c>
      <c r="F13" t="s">
        <v>523</v>
      </c>
      <c r="G13">
        <v>0</v>
      </c>
      <c r="I13" t="s">
        <v>523</v>
      </c>
      <c r="J13" t="str">
        <f t="shared" si="0"/>
        <v>Not renal genetic testing study</v>
      </c>
      <c r="K13" t="s">
        <v>547</v>
      </c>
    </row>
    <row r="14" spans="1:12">
      <c r="A14">
        <v>38190104</v>
      </c>
      <c r="B14" t="s">
        <v>69</v>
      </c>
      <c r="C14">
        <v>2024</v>
      </c>
      <c r="D14" t="s">
        <v>522</v>
      </c>
      <c r="E14">
        <v>0</v>
      </c>
      <c r="F14" t="s">
        <v>523</v>
      </c>
      <c r="G14">
        <v>0</v>
      </c>
      <c r="I14" t="s">
        <v>523</v>
      </c>
      <c r="J14" t="str">
        <f t="shared" si="0"/>
        <v>Not renal genetic testing study</v>
      </c>
      <c r="K14" t="s">
        <v>549</v>
      </c>
    </row>
    <row r="15" spans="1:12">
      <c r="A15">
        <v>36623684</v>
      </c>
      <c r="B15" t="s">
        <v>72</v>
      </c>
      <c r="C15">
        <v>2023</v>
      </c>
      <c r="D15" t="s">
        <v>522</v>
      </c>
      <c r="E15">
        <v>0</v>
      </c>
      <c r="F15" t="s">
        <v>523</v>
      </c>
      <c r="G15">
        <v>0</v>
      </c>
      <c r="I15" t="s">
        <v>523</v>
      </c>
      <c r="J15" t="str">
        <f t="shared" si="0"/>
        <v>Not renal genetic testing study</v>
      </c>
      <c r="K15" t="s">
        <v>550</v>
      </c>
    </row>
    <row r="16" spans="1:12">
      <c r="A16">
        <v>36444934</v>
      </c>
      <c r="B16" t="s">
        <v>74</v>
      </c>
      <c r="C16">
        <v>2023</v>
      </c>
      <c r="D16" t="s">
        <v>522</v>
      </c>
      <c r="E16">
        <v>0</v>
      </c>
      <c r="F16" t="s">
        <v>523</v>
      </c>
      <c r="G16">
        <v>0</v>
      </c>
      <c r="I16" t="s">
        <v>523</v>
      </c>
      <c r="J16" t="str">
        <f t="shared" si="0"/>
        <v>Not renal genetic testing study</v>
      </c>
      <c r="K16" t="s">
        <v>551</v>
      </c>
    </row>
    <row r="17" spans="1:11">
      <c r="A17">
        <v>38852815</v>
      </c>
      <c r="B17" t="s">
        <v>77</v>
      </c>
      <c r="C17">
        <v>2024</v>
      </c>
      <c r="D17" t="s">
        <v>522</v>
      </c>
      <c r="E17">
        <v>0</v>
      </c>
      <c r="F17" t="s">
        <v>523</v>
      </c>
      <c r="G17">
        <v>0</v>
      </c>
      <c r="I17" t="s">
        <v>523</v>
      </c>
      <c r="J17" t="str">
        <f t="shared" si="0"/>
        <v>Not renal genetic testing study</v>
      </c>
      <c r="K17" t="s">
        <v>552</v>
      </c>
    </row>
    <row r="18" spans="1:11">
      <c r="A18">
        <v>35115544</v>
      </c>
      <c r="B18" t="s">
        <v>83</v>
      </c>
      <c r="C18">
        <v>2022</v>
      </c>
      <c r="D18" t="s">
        <v>522</v>
      </c>
      <c r="E18">
        <v>0</v>
      </c>
      <c r="F18" t="s">
        <v>523</v>
      </c>
      <c r="G18">
        <v>0</v>
      </c>
      <c r="I18" t="s">
        <v>523</v>
      </c>
      <c r="J18" t="str">
        <f t="shared" si="0"/>
        <v>Not renal genetic testing study</v>
      </c>
      <c r="K18" t="s">
        <v>554</v>
      </c>
    </row>
    <row r="19" spans="1:11">
      <c r="A19">
        <v>31853010</v>
      </c>
      <c r="B19" t="s">
        <v>88</v>
      </c>
      <c r="C19">
        <v>2020</v>
      </c>
      <c r="D19" t="s">
        <v>522</v>
      </c>
      <c r="E19">
        <v>0</v>
      </c>
      <c r="F19" t="s">
        <v>523</v>
      </c>
      <c r="G19">
        <v>0</v>
      </c>
      <c r="I19" t="s">
        <v>523</v>
      </c>
      <c r="J19" t="str">
        <f t="shared" si="0"/>
        <v>Not renal genetic testing study</v>
      </c>
      <c r="K19" t="s">
        <v>556</v>
      </c>
    </row>
    <row r="20" spans="1:11">
      <c r="A20">
        <v>34067580</v>
      </c>
      <c r="B20" t="s">
        <v>91</v>
      </c>
      <c r="C20">
        <v>2021</v>
      </c>
      <c r="D20" t="s">
        <v>522</v>
      </c>
      <c r="E20">
        <v>0</v>
      </c>
      <c r="F20" t="s">
        <v>523</v>
      </c>
      <c r="G20">
        <v>0</v>
      </c>
      <c r="I20" t="s">
        <v>523</v>
      </c>
      <c r="J20" t="str">
        <f t="shared" si="0"/>
        <v>Not renal genetic testing study</v>
      </c>
      <c r="K20" t="s">
        <v>557</v>
      </c>
    </row>
    <row r="21" spans="1:11">
      <c r="A21">
        <v>37624678</v>
      </c>
      <c r="B21" t="s">
        <v>94</v>
      </c>
      <c r="C21">
        <v>2023</v>
      </c>
      <c r="D21" t="s">
        <v>522</v>
      </c>
      <c r="E21">
        <v>0</v>
      </c>
      <c r="F21" t="s">
        <v>523</v>
      </c>
      <c r="G21">
        <v>0</v>
      </c>
      <c r="I21" t="s">
        <v>523</v>
      </c>
      <c r="J21" t="str">
        <f t="shared" si="0"/>
        <v>Not renal genetic testing study</v>
      </c>
      <c r="K21" t="s">
        <v>558</v>
      </c>
    </row>
    <row r="22" spans="1:11">
      <c r="A22">
        <v>37103770</v>
      </c>
      <c r="B22" t="s">
        <v>97</v>
      </c>
      <c r="C22">
        <v>2023</v>
      </c>
      <c r="D22" t="s">
        <v>522</v>
      </c>
      <c r="E22">
        <v>0</v>
      </c>
      <c r="F22" t="s">
        <v>523</v>
      </c>
      <c r="G22">
        <v>0</v>
      </c>
      <c r="I22" t="s">
        <v>523</v>
      </c>
      <c r="J22" t="str">
        <f t="shared" si="0"/>
        <v>Not renal genetic testing study</v>
      </c>
      <c r="K22" t="s">
        <v>559</v>
      </c>
    </row>
    <row r="23" spans="1:11">
      <c r="A23">
        <v>39405682</v>
      </c>
      <c r="B23" t="s">
        <v>99</v>
      </c>
      <c r="C23">
        <v>2024</v>
      </c>
      <c r="D23" t="s">
        <v>522</v>
      </c>
      <c r="E23">
        <v>0</v>
      </c>
      <c r="F23" t="s">
        <v>523</v>
      </c>
      <c r="G23">
        <v>0</v>
      </c>
      <c r="I23" t="s">
        <v>523</v>
      </c>
      <c r="J23" t="str">
        <f t="shared" si="0"/>
        <v>Not renal genetic testing study</v>
      </c>
      <c r="K23" t="s">
        <v>560</v>
      </c>
    </row>
    <row r="24" spans="1:11">
      <c r="A24">
        <v>39402708</v>
      </c>
      <c r="B24" t="s">
        <v>102</v>
      </c>
      <c r="C24">
        <v>2025</v>
      </c>
      <c r="D24" t="s">
        <v>522</v>
      </c>
      <c r="E24">
        <v>0</v>
      </c>
      <c r="F24" t="s">
        <v>523</v>
      </c>
      <c r="G24">
        <v>0</v>
      </c>
      <c r="I24" t="s">
        <v>523</v>
      </c>
      <c r="J24" t="str">
        <f t="shared" si="0"/>
        <v>Not renal genetic testing study</v>
      </c>
      <c r="K24" t="s">
        <v>561</v>
      </c>
    </row>
    <row r="25" spans="1:11">
      <c r="A25">
        <v>38905995</v>
      </c>
      <c r="B25" t="s">
        <v>107</v>
      </c>
      <c r="C25">
        <v>2024</v>
      </c>
      <c r="D25" t="s">
        <v>522</v>
      </c>
      <c r="E25">
        <v>0</v>
      </c>
      <c r="F25" t="s">
        <v>523</v>
      </c>
      <c r="G25">
        <v>0</v>
      </c>
      <c r="I25" t="s">
        <v>523</v>
      </c>
      <c r="J25" t="str">
        <f t="shared" si="0"/>
        <v>Not renal genetic testing study</v>
      </c>
      <c r="K25" t="s">
        <v>563</v>
      </c>
    </row>
    <row r="26" spans="1:11">
      <c r="A26">
        <v>39819994</v>
      </c>
      <c r="B26" t="s">
        <v>110</v>
      </c>
      <c r="C26">
        <v>2025</v>
      </c>
      <c r="D26" t="s">
        <v>522</v>
      </c>
      <c r="E26">
        <v>0</v>
      </c>
      <c r="F26" t="s">
        <v>523</v>
      </c>
      <c r="G26">
        <v>0</v>
      </c>
      <c r="I26" t="s">
        <v>523</v>
      </c>
      <c r="J26" t="str">
        <f t="shared" si="0"/>
        <v>Not renal genetic testing study</v>
      </c>
      <c r="K26" t="s">
        <v>564</v>
      </c>
    </row>
    <row r="27" spans="1:11">
      <c r="A27">
        <v>33783510</v>
      </c>
      <c r="B27" t="s">
        <v>112</v>
      </c>
      <c r="C27">
        <v>2021</v>
      </c>
      <c r="D27" t="s">
        <v>522</v>
      </c>
      <c r="E27">
        <v>0</v>
      </c>
      <c r="F27" t="s">
        <v>523</v>
      </c>
      <c r="G27">
        <v>0</v>
      </c>
      <c r="I27" t="s">
        <v>523</v>
      </c>
      <c r="J27" t="str">
        <f t="shared" si="0"/>
        <v>Not renal genetic testing study</v>
      </c>
      <c r="K27" t="s">
        <v>565</v>
      </c>
    </row>
    <row r="28" spans="1:11">
      <c r="A28">
        <v>36245662</v>
      </c>
      <c r="B28" t="s">
        <v>114</v>
      </c>
      <c r="C28">
        <v>2022</v>
      </c>
      <c r="D28" t="s">
        <v>522</v>
      </c>
      <c r="E28">
        <v>0</v>
      </c>
      <c r="F28" t="s">
        <v>523</v>
      </c>
      <c r="G28">
        <v>0</v>
      </c>
      <c r="I28" t="s">
        <v>523</v>
      </c>
      <c r="J28" t="str">
        <f t="shared" si="0"/>
        <v>Not renal genetic testing study</v>
      </c>
      <c r="K28" t="s">
        <v>566</v>
      </c>
    </row>
    <row r="29" spans="1:11">
      <c r="A29">
        <v>32889981</v>
      </c>
      <c r="B29" t="s">
        <v>116</v>
      </c>
      <c r="C29">
        <v>2020</v>
      </c>
      <c r="D29" t="s">
        <v>522</v>
      </c>
      <c r="E29">
        <v>0</v>
      </c>
      <c r="F29" t="s">
        <v>523</v>
      </c>
      <c r="G29">
        <v>0</v>
      </c>
      <c r="I29" t="s">
        <v>523</v>
      </c>
      <c r="J29" t="str">
        <f t="shared" si="0"/>
        <v>Not renal genetic testing study</v>
      </c>
      <c r="K29" t="s">
        <v>567</v>
      </c>
    </row>
    <row r="30" spans="1:11">
      <c r="A30">
        <v>36525551</v>
      </c>
      <c r="B30" t="s">
        <v>119</v>
      </c>
      <c r="C30">
        <v>2023</v>
      </c>
      <c r="D30" t="s">
        <v>522</v>
      </c>
      <c r="E30">
        <v>0</v>
      </c>
      <c r="F30" t="s">
        <v>523</v>
      </c>
      <c r="G30">
        <v>0</v>
      </c>
      <c r="I30" t="s">
        <v>523</v>
      </c>
      <c r="J30" t="str">
        <f t="shared" si="0"/>
        <v>Not renal genetic testing study</v>
      </c>
      <c r="K30" t="s">
        <v>568</v>
      </c>
    </row>
    <row r="31" spans="1:11">
      <c r="A31">
        <v>40345499</v>
      </c>
      <c r="B31" t="s">
        <v>121</v>
      </c>
      <c r="C31">
        <v>2025</v>
      </c>
      <c r="D31" t="s">
        <v>522</v>
      </c>
      <c r="E31">
        <v>0</v>
      </c>
      <c r="F31" t="s">
        <v>523</v>
      </c>
      <c r="G31">
        <v>0</v>
      </c>
      <c r="I31" t="s">
        <v>523</v>
      </c>
      <c r="J31" t="str">
        <f t="shared" si="0"/>
        <v>Not renal genetic testing study</v>
      </c>
      <c r="K31" t="s">
        <v>569</v>
      </c>
    </row>
    <row r="32" spans="1:11">
      <c r="A32">
        <v>31822006</v>
      </c>
      <c r="B32" t="s">
        <v>124</v>
      </c>
      <c r="C32">
        <v>2020</v>
      </c>
      <c r="D32" t="s">
        <v>522</v>
      </c>
      <c r="E32">
        <v>0</v>
      </c>
      <c r="F32" t="s">
        <v>523</v>
      </c>
      <c r="G32">
        <v>0</v>
      </c>
      <c r="I32" t="s">
        <v>523</v>
      </c>
      <c r="J32" t="str">
        <f t="shared" si="0"/>
        <v>Not renal genetic testing study</v>
      </c>
      <c r="K32" t="s">
        <v>570</v>
      </c>
    </row>
    <row r="33" spans="1:11">
      <c r="A33">
        <v>40484353</v>
      </c>
      <c r="B33" t="s">
        <v>127</v>
      </c>
      <c r="C33">
        <v>2025</v>
      </c>
      <c r="D33" t="s">
        <v>522</v>
      </c>
      <c r="E33">
        <v>0</v>
      </c>
      <c r="F33" t="s">
        <v>523</v>
      </c>
      <c r="G33">
        <v>0</v>
      </c>
      <c r="I33" t="s">
        <v>523</v>
      </c>
      <c r="J33" t="str">
        <f t="shared" si="0"/>
        <v>Not renal genetic testing study</v>
      </c>
      <c r="K33" t="s">
        <v>571</v>
      </c>
    </row>
    <row r="34" spans="1:11">
      <c r="A34">
        <v>32799815</v>
      </c>
      <c r="B34" t="s">
        <v>129</v>
      </c>
      <c r="C34">
        <v>2020</v>
      </c>
      <c r="D34" t="s">
        <v>522</v>
      </c>
      <c r="E34">
        <v>0</v>
      </c>
      <c r="F34" t="s">
        <v>523</v>
      </c>
      <c r="G34">
        <v>0</v>
      </c>
      <c r="I34" t="s">
        <v>523</v>
      </c>
      <c r="J34" t="str">
        <f t="shared" ref="J34:J65" si="1">IF(F34=("exclude"), ("Not renal genetic testing study"))</f>
        <v>Not renal genetic testing study</v>
      </c>
      <c r="K34" t="s">
        <v>572</v>
      </c>
    </row>
    <row r="35" spans="1:11">
      <c r="A35">
        <v>36758113</v>
      </c>
      <c r="B35" t="s">
        <v>131</v>
      </c>
      <c r="C35">
        <v>2023</v>
      </c>
      <c r="D35" t="s">
        <v>522</v>
      </c>
      <c r="E35">
        <v>0</v>
      </c>
      <c r="F35" t="s">
        <v>523</v>
      </c>
      <c r="G35">
        <v>0</v>
      </c>
      <c r="I35" t="s">
        <v>523</v>
      </c>
      <c r="J35" t="str">
        <f t="shared" si="1"/>
        <v>Not renal genetic testing study</v>
      </c>
      <c r="K35" t="s">
        <v>573</v>
      </c>
    </row>
    <row r="36" spans="1:11">
      <c r="A36">
        <v>34449333</v>
      </c>
      <c r="B36" t="s">
        <v>133</v>
      </c>
      <c r="C36">
        <v>2022</v>
      </c>
      <c r="D36" t="s">
        <v>522</v>
      </c>
      <c r="E36">
        <v>0</v>
      </c>
      <c r="F36" t="s">
        <v>523</v>
      </c>
      <c r="G36">
        <v>0</v>
      </c>
      <c r="I36" t="s">
        <v>523</v>
      </c>
      <c r="J36" t="str">
        <f t="shared" si="1"/>
        <v>Not renal genetic testing study</v>
      </c>
      <c r="K36" t="s">
        <v>574</v>
      </c>
    </row>
    <row r="37" spans="1:11">
      <c r="A37">
        <v>35120996</v>
      </c>
      <c r="B37" t="s">
        <v>135</v>
      </c>
      <c r="C37">
        <v>2022</v>
      </c>
      <c r="D37" t="s">
        <v>522</v>
      </c>
      <c r="E37">
        <v>0</v>
      </c>
      <c r="F37" t="s">
        <v>523</v>
      </c>
      <c r="G37">
        <v>0</v>
      </c>
      <c r="I37" t="s">
        <v>523</v>
      </c>
      <c r="J37" t="str">
        <f t="shared" si="1"/>
        <v>Not renal genetic testing study</v>
      </c>
      <c r="K37" t="s">
        <v>575</v>
      </c>
    </row>
    <row r="38" spans="1:11">
      <c r="A38">
        <v>32855195</v>
      </c>
      <c r="B38" t="s">
        <v>137</v>
      </c>
      <c r="C38">
        <v>2020</v>
      </c>
      <c r="D38" t="s">
        <v>522</v>
      </c>
      <c r="E38">
        <v>0</v>
      </c>
      <c r="F38" t="s">
        <v>523</v>
      </c>
      <c r="G38">
        <v>0</v>
      </c>
      <c r="I38" t="s">
        <v>523</v>
      </c>
      <c r="J38" t="str">
        <f t="shared" si="1"/>
        <v>Not renal genetic testing study</v>
      </c>
      <c r="K38" t="s">
        <v>576</v>
      </c>
    </row>
    <row r="39" spans="1:11">
      <c r="A39">
        <v>34946851</v>
      </c>
      <c r="B39" t="s">
        <v>139</v>
      </c>
      <c r="C39">
        <v>2021</v>
      </c>
      <c r="D39" t="s">
        <v>522</v>
      </c>
      <c r="E39">
        <v>0</v>
      </c>
      <c r="F39" t="s">
        <v>523</v>
      </c>
      <c r="G39">
        <v>0</v>
      </c>
      <c r="I39" t="s">
        <v>523</v>
      </c>
      <c r="J39" t="str">
        <f t="shared" si="1"/>
        <v>Not renal genetic testing study</v>
      </c>
      <c r="K39" t="s">
        <v>577</v>
      </c>
    </row>
    <row r="40" spans="1:11">
      <c r="A40">
        <v>35006361</v>
      </c>
      <c r="B40" t="s">
        <v>140</v>
      </c>
      <c r="C40">
        <v>2022</v>
      </c>
      <c r="D40" t="s">
        <v>522</v>
      </c>
      <c r="E40">
        <v>0</v>
      </c>
      <c r="F40" t="s">
        <v>523</v>
      </c>
      <c r="G40">
        <v>0</v>
      </c>
      <c r="I40" t="s">
        <v>523</v>
      </c>
      <c r="J40" t="str">
        <f t="shared" si="1"/>
        <v>Not renal genetic testing study</v>
      </c>
      <c r="K40" t="s">
        <v>578</v>
      </c>
    </row>
    <row r="41" spans="1:11">
      <c r="A41">
        <v>34343338</v>
      </c>
      <c r="B41" t="s">
        <v>143</v>
      </c>
      <c r="C41">
        <v>2021</v>
      </c>
      <c r="D41" t="s">
        <v>522</v>
      </c>
      <c r="E41">
        <v>0</v>
      </c>
      <c r="F41" t="s">
        <v>523</v>
      </c>
      <c r="G41">
        <v>0</v>
      </c>
      <c r="I41" t="s">
        <v>523</v>
      </c>
      <c r="J41" t="str">
        <f t="shared" si="1"/>
        <v>Not renal genetic testing study</v>
      </c>
      <c r="K41" t="s">
        <v>579</v>
      </c>
    </row>
    <row r="42" spans="1:11">
      <c r="A42">
        <v>34363274</v>
      </c>
      <c r="B42" t="s">
        <v>146</v>
      </c>
      <c r="C42">
        <v>2022</v>
      </c>
      <c r="D42" t="s">
        <v>522</v>
      </c>
      <c r="E42">
        <v>0</v>
      </c>
      <c r="F42" t="s">
        <v>523</v>
      </c>
      <c r="G42">
        <v>0</v>
      </c>
      <c r="I42" t="s">
        <v>523</v>
      </c>
      <c r="J42" t="str">
        <f t="shared" si="1"/>
        <v>Not renal genetic testing study</v>
      </c>
      <c r="K42" t="s">
        <v>580</v>
      </c>
    </row>
    <row r="43" spans="1:11">
      <c r="A43">
        <v>37391705</v>
      </c>
      <c r="B43" t="s">
        <v>149</v>
      </c>
      <c r="C43">
        <v>2023</v>
      </c>
      <c r="D43" t="s">
        <v>522</v>
      </c>
      <c r="E43">
        <v>0</v>
      </c>
      <c r="F43" t="s">
        <v>523</v>
      </c>
      <c r="G43">
        <v>0</v>
      </c>
      <c r="I43" t="s">
        <v>523</v>
      </c>
      <c r="J43" t="str">
        <f t="shared" si="1"/>
        <v>Not renal genetic testing study</v>
      </c>
      <c r="K43" t="s">
        <v>581</v>
      </c>
    </row>
    <row r="44" spans="1:11">
      <c r="A44">
        <v>32080893</v>
      </c>
      <c r="B44" t="s">
        <v>152</v>
      </c>
      <c r="C44">
        <v>2020</v>
      </c>
      <c r="D44" t="s">
        <v>522</v>
      </c>
      <c r="E44">
        <v>0</v>
      </c>
      <c r="F44" t="s">
        <v>523</v>
      </c>
      <c r="G44">
        <v>0</v>
      </c>
      <c r="I44" t="s">
        <v>523</v>
      </c>
      <c r="J44" t="str">
        <f t="shared" si="1"/>
        <v>Not renal genetic testing study</v>
      </c>
      <c r="K44" t="s">
        <v>582</v>
      </c>
    </row>
    <row r="45" spans="1:11">
      <c r="A45">
        <v>33276865</v>
      </c>
      <c r="B45" t="s">
        <v>155</v>
      </c>
      <c r="C45">
        <v>2020</v>
      </c>
      <c r="D45" t="s">
        <v>522</v>
      </c>
      <c r="E45">
        <v>0</v>
      </c>
      <c r="F45" t="s">
        <v>523</v>
      </c>
      <c r="G45">
        <v>0</v>
      </c>
      <c r="I45" t="s">
        <v>523</v>
      </c>
      <c r="J45" t="str">
        <f t="shared" si="1"/>
        <v>Not renal genetic testing study</v>
      </c>
      <c r="K45" t="s">
        <v>583</v>
      </c>
    </row>
    <row r="46" spans="1:11">
      <c r="A46">
        <v>32574212</v>
      </c>
      <c r="B46" t="s">
        <v>157</v>
      </c>
      <c r="C46">
        <v>2020</v>
      </c>
      <c r="D46" t="s">
        <v>522</v>
      </c>
      <c r="E46">
        <v>0</v>
      </c>
      <c r="F46" t="s">
        <v>523</v>
      </c>
      <c r="G46">
        <v>0</v>
      </c>
      <c r="I46" t="s">
        <v>523</v>
      </c>
      <c r="J46" t="str">
        <f t="shared" si="1"/>
        <v>Not renal genetic testing study</v>
      </c>
      <c r="K46" t="s">
        <v>584</v>
      </c>
    </row>
    <row r="47" spans="1:11">
      <c r="A47">
        <v>37248651</v>
      </c>
      <c r="B47" t="s">
        <v>160</v>
      </c>
      <c r="C47">
        <v>2023</v>
      </c>
      <c r="D47" t="s">
        <v>522</v>
      </c>
      <c r="E47">
        <v>0</v>
      </c>
      <c r="F47" t="s">
        <v>523</v>
      </c>
      <c r="G47">
        <v>0</v>
      </c>
      <c r="I47" t="s">
        <v>523</v>
      </c>
      <c r="J47" t="str">
        <f t="shared" si="1"/>
        <v>Not renal genetic testing study</v>
      </c>
      <c r="K47" t="s">
        <v>585</v>
      </c>
    </row>
    <row r="48" spans="1:11">
      <c r="A48">
        <v>37510393</v>
      </c>
      <c r="B48" t="s">
        <v>163</v>
      </c>
      <c r="C48">
        <v>2023</v>
      </c>
      <c r="D48" t="s">
        <v>522</v>
      </c>
      <c r="E48">
        <v>0</v>
      </c>
      <c r="F48" t="s">
        <v>523</v>
      </c>
      <c r="G48">
        <v>0</v>
      </c>
      <c r="I48" t="s">
        <v>523</v>
      </c>
      <c r="J48" t="str">
        <f t="shared" si="1"/>
        <v>Not renal genetic testing study</v>
      </c>
      <c r="K48" t="s">
        <v>586</v>
      </c>
    </row>
    <row r="49" spans="1:11">
      <c r="A49">
        <v>40325148</v>
      </c>
      <c r="B49" t="s">
        <v>165</v>
      </c>
      <c r="C49">
        <v>2025</v>
      </c>
      <c r="D49" t="s">
        <v>522</v>
      </c>
      <c r="E49">
        <v>0</v>
      </c>
      <c r="F49" t="s">
        <v>523</v>
      </c>
      <c r="G49">
        <v>0</v>
      </c>
      <c r="I49" t="s">
        <v>523</v>
      </c>
      <c r="J49" t="str">
        <f t="shared" si="1"/>
        <v>Not renal genetic testing study</v>
      </c>
      <c r="K49" t="s">
        <v>587</v>
      </c>
    </row>
    <row r="50" spans="1:11">
      <c r="A50">
        <v>35962481</v>
      </c>
      <c r="B50" t="s">
        <v>168</v>
      </c>
      <c r="C50">
        <v>2022</v>
      </c>
      <c r="D50" t="s">
        <v>522</v>
      </c>
      <c r="E50">
        <v>0</v>
      </c>
      <c r="F50" t="s">
        <v>523</v>
      </c>
      <c r="G50">
        <v>0</v>
      </c>
      <c r="I50" t="s">
        <v>523</v>
      </c>
      <c r="J50" t="str">
        <f t="shared" si="1"/>
        <v>Not renal genetic testing study</v>
      </c>
      <c r="K50" t="s">
        <v>588</v>
      </c>
    </row>
    <row r="51" spans="1:11">
      <c r="A51">
        <v>36404353</v>
      </c>
      <c r="B51" t="s">
        <v>171</v>
      </c>
      <c r="C51">
        <v>2023</v>
      </c>
      <c r="D51" t="s">
        <v>522</v>
      </c>
      <c r="E51">
        <v>0</v>
      </c>
      <c r="F51" t="s">
        <v>523</v>
      </c>
      <c r="G51">
        <v>0</v>
      </c>
      <c r="I51" t="s">
        <v>523</v>
      </c>
      <c r="J51" t="str">
        <f t="shared" si="1"/>
        <v>Not renal genetic testing study</v>
      </c>
      <c r="K51" t="s">
        <v>589</v>
      </c>
    </row>
    <row r="52" spans="1:11">
      <c r="A52">
        <v>36072369</v>
      </c>
      <c r="B52" t="s">
        <v>174</v>
      </c>
      <c r="C52">
        <v>2022</v>
      </c>
      <c r="D52" t="s">
        <v>522</v>
      </c>
      <c r="E52">
        <v>0</v>
      </c>
      <c r="F52" t="s">
        <v>523</v>
      </c>
      <c r="G52">
        <v>0</v>
      </c>
      <c r="I52" t="s">
        <v>523</v>
      </c>
      <c r="J52" t="str">
        <f t="shared" si="1"/>
        <v>Not renal genetic testing study</v>
      </c>
      <c r="K52" t="s">
        <v>590</v>
      </c>
    </row>
    <row r="53" spans="1:11">
      <c r="A53">
        <v>35148957</v>
      </c>
      <c r="B53" t="s">
        <v>182</v>
      </c>
      <c r="C53">
        <v>2022</v>
      </c>
      <c r="D53" t="s">
        <v>522</v>
      </c>
      <c r="E53">
        <v>0</v>
      </c>
      <c r="F53" t="s">
        <v>523</v>
      </c>
      <c r="G53">
        <v>0</v>
      </c>
      <c r="I53" t="s">
        <v>523</v>
      </c>
      <c r="J53" t="str">
        <f t="shared" si="1"/>
        <v>Not renal genetic testing study</v>
      </c>
      <c r="K53" t="s">
        <v>593</v>
      </c>
    </row>
    <row r="54" spans="1:11">
      <c r="A54">
        <v>39054238</v>
      </c>
      <c r="B54" t="s">
        <v>185</v>
      </c>
      <c r="C54">
        <v>2024</v>
      </c>
      <c r="D54" t="s">
        <v>522</v>
      </c>
      <c r="E54">
        <v>0</v>
      </c>
      <c r="F54" t="s">
        <v>523</v>
      </c>
      <c r="G54">
        <v>0</v>
      </c>
      <c r="I54" t="s">
        <v>523</v>
      </c>
      <c r="J54" t="str">
        <f t="shared" si="1"/>
        <v>Not renal genetic testing study</v>
      </c>
      <c r="K54" t="s">
        <v>594</v>
      </c>
    </row>
    <row r="55" spans="1:11">
      <c r="A55">
        <v>33838163</v>
      </c>
      <c r="B55" t="s">
        <v>188</v>
      </c>
      <c r="C55">
        <v>2021</v>
      </c>
      <c r="D55" t="s">
        <v>522</v>
      </c>
      <c r="E55">
        <v>0</v>
      </c>
      <c r="F55" t="s">
        <v>523</v>
      </c>
      <c r="G55">
        <v>0</v>
      </c>
      <c r="I55" t="s">
        <v>523</v>
      </c>
      <c r="J55" t="str">
        <f t="shared" si="1"/>
        <v>Not renal genetic testing study</v>
      </c>
      <c r="K55" t="s">
        <v>595</v>
      </c>
    </row>
    <row r="56" spans="1:11">
      <c r="A56">
        <v>37229630</v>
      </c>
      <c r="B56" t="s">
        <v>190</v>
      </c>
      <c r="C56">
        <v>2023</v>
      </c>
      <c r="D56" t="s">
        <v>522</v>
      </c>
      <c r="E56">
        <v>0</v>
      </c>
      <c r="F56" t="s">
        <v>523</v>
      </c>
      <c r="G56">
        <v>0</v>
      </c>
      <c r="I56" t="s">
        <v>523</v>
      </c>
      <c r="J56" t="str">
        <f t="shared" si="1"/>
        <v>Not renal genetic testing study</v>
      </c>
      <c r="K56" t="s">
        <v>596</v>
      </c>
    </row>
    <row r="57" spans="1:11">
      <c r="A57">
        <v>36949158</v>
      </c>
      <c r="B57" t="s">
        <v>193</v>
      </c>
      <c r="C57">
        <v>2023</v>
      </c>
      <c r="D57" t="s">
        <v>522</v>
      </c>
      <c r="E57">
        <v>0</v>
      </c>
      <c r="F57" t="s">
        <v>523</v>
      </c>
      <c r="G57">
        <v>0</v>
      </c>
      <c r="I57" t="s">
        <v>523</v>
      </c>
      <c r="J57" t="str">
        <f t="shared" si="1"/>
        <v>Not renal genetic testing study</v>
      </c>
      <c r="K57" t="s">
        <v>597</v>
      </c>
    </row>
    <row r="58" spans="1:11">
      <c r="A58">
        <v>37759214</v>
      </c>
      <c r="B58" t="s">
        <v>195</v>
      </c>
      <c r="C58">
        <v>2023</v>
      </c>
      <c r="D58" t="s">
        <v>522</v>
      </c>
      <c r="E58">
        <v>0</v>
      </c>
      <c r="F58" t="s">
        <v>523</v>
      </c>
      <c r="G58">
        <v>0</v>
      </c>
      <c r="I58" t="s">
        <v>523</v>
      </c>
      <c r="J58" t="str">
        <f t="shared" si="1"/>
        <v>Not renal genetic testing study</v>
      </c>
      <c r="K58" t="s">
        <v>598</v>
      </c>
    </row>
    <row r="59" spans="1:11">
      <c r="A59">
        <v>39965361</v>
      </c>
      <c r="B59" t="s">
        <v>198</v>
      </c>
      <c r="C59">
        <v>2025</v>
      </c>
      <c r="D59" t="s">
        <v>522</v>
      </c>
      <c r="E59">
        <v>0</v>
      </c>
      <c r="F59" t="s">
        <v>523</v>
      </c>
      <c r="G59">
        <v>0</v>
      </c>
      <c r="I59" t="s">
        <v>523</v>
      </c>
      <c r="J59" t="str">
        <f t="shared" si="1"/>
        <v>Not renal genetic testing study</v>
      </c>
      <c r="K59" t="s">
        <v>599</v>
      </c>
    </row>
    <row r="60" spans="1:11">
      <c r="A60">
        <v>37978231</v>
      </c>
      <c r="B60" t="s">
        <v>201</v>
      </c>
      <c r="C60">
        <v>2023</v>
      </c>
      <c r="D60" t="s">
        <v>522</v>
      </c>
      <c r="E60">
        <v>0</v>
      </c>
      <c r="F60" t="s">
        <v>523</v>
      </c>
      <c r="G60">
        <v>0</v>
      </c>
      <c r="I60" t="s">
        <v>523</v>
      </c>
      <c r="J60" t="str">
        <f t="shared" si="1"/>
        <v>Not renal genetic testing study</v>
      </c>
      <c r="K60" t="s">
        <v>600</v>
      </c>
    </row>
    <row r="61" spans="1:11">
      <c r="A61">
        <v>37037154</v>
      </c>
      <c r="B61" t="s">
        <v>204</v>
      </c>
      <c r="C61">
        <v>2023</v>
      </c>
      <c r="D61" t="s">
        <v>522</v>
      </c>
      <c r="E61">
        <v>0</v>
      </c>
      <c r="F61" t="s">
        <v>523</v>
      </c>
      <c r="G61">
        <v>0</v>
      </c>
      <c r="I61" t="s">
        <v>523</v>
      </c>
      <c r="J61" t="str">
        <f t="shared" si="1"/>
        <v>Not renal genetic testing study</v>
      </c>
      <c r="K61" t="s">
        <v>601</v>
      </c>
    </row>
    <row r="62" spans="1:11">
      <c r="A62">
        <v>38022507</v>
      </c>
      <c r="B62" t="s">
        <v>207</v>
      </c>
      <c r="C62">
        <v>2023</v>
      </c>
      <c r="D62" t="s">
        <v>522</v>
      </c>
      <c r="E62">
        <v>0</v>
      </c>
      <c r="F62" t="s">
        <v>523</v>
      </c>
      <c r="G62">
        <v>0</v>
      </c>
      <c r="I62" t="s">
        <v>523</v>
      </c>
      <c r="J62" t="str">
        <f t="shared" si="1"/>
        <v>Not renal genetic testing study</v>
      </c>
      <c r="K62" t="s">
        <v>602</v>
      </c>
    </row>
    <row r="63" spans="1:11">
      <c r="A63">
        <v>34354814</v>
      </c>
      <c r="B63" t="s">
        <v>210</v>
      </c>
      <c r="C63">
        <v>2021</v>
      </c>
      <c r="D63" t="s">
        <v>522</v>
      </c>
      <c r="E63">
        <v>0</v>
      </c>
      <c r="F63" t="s">
        <v>523</v>
      </c>
      <c r="G63">
        <v>0</v>
      </c>
      <c r="I63" t="s">
        <v>523</v>
      </c>
      <c r="J63" t="str">
        <f t="shared" si="1"/>
        <v>Not renal genetic testing study</v>
      </c>
      <c r="K63" t="s">
        <v>603</v>
      </c>
    </row>
    <row r="64" spans="1:11">
      <c r="A64">
        <v>36627639</v>
      </c>
      <c r="B64" t="s">
        <v>213</v>
      </c>
      <c r="C64">
        <v>2023</v>
      </c>
      <c r="D64" t="s">
        <v>522</v>
      </c>
      <c r="E64">
        <v>0</v>
      </c>
      <c r="F64" t="s">
        <v>523</v>
      </c>
      <c r="G64">
        <v>0</v>
      </c>
      <c r="I64" t="s">
        <v>523</v>
      </c>
      <c r="J64" t="str">
        <f t="shared" si="1"/>
        <v>Not renal genetic testing study</v>
      </c>
      <c r="K64" t="s">
        <v>604</v>
      </c>
    </row>
    <row r="65" spans="1:11">
      <c r="A65">
        <v>33108403</v>
      </c>
      <c r="B65" t="s">
        <v>216</v>
      </c>
      <c r="C65">
        <v>2020</v>
      </c>
      <c r="D65" t="s">
        <v>522</v>
      </c>
      <c r="E65">
        <v>0</v>
      </c>
      <c r="F65" t="s">
        <v>523</v>
      </c>
      <c r="G65">
        <v>0</v>
      </c>
      <c r="I65" t="s">
        <v>523</v>
      </c>
      <c r="J65" t="str">
        <f t="shared" si="1"/>
        <v>Not renal genetic testing study</v>
      </c>
      <c r="K65" t="s">
        <v>605</v>
      </c>
    </row>
    <row r="66" spans="1:11">
      <c r="A66">
        <v>38152017</v>
      </c>
      <c r="B66" t="s">
        <v>218</v>
      </c>
      <c r="C66">
        <v>2024</v>
      </c>
      <c r="D66" t="s">
        <v>522</v>
      </c>
      <c r="E66">
        <v>0</v>
      </c>
      <c r="F66" t="s">
        <v>523</v>
      </c>
      <c r="G66">
        <v>0</v>
      </c>
      <c r="I66" t="s">
        <v>523</v>
      </c>
      <c r="J66" t="str">
        <f t="shared" ref="J66:J97" si="2">IF(F66=("exclude"), ("Not renal genetic testing study"))</f>
        <v>Not renal genetic testing study</v>
      </c>
      <c r="K66" t="s">
        <v>606</v>
      </c>
    </row>
    <row r="67" spans="1:11">
      <c r="A67">
        <v>35603906</v>
      </c>
      <c r="B67" t="s">
        <v>220</v>
      </c>
      <c r="C67">
        <v>2022</v>
      </c>
      <c r="D67" t="s">
        <v>522</v>
      </c>
      <c r="E67">
        <v>0</v>
      </c>
      <c r="F67" t="s">
        <v>523</v>
      </c>
      <c r="G67">
        <v>0</v>
      </c>
      <c r="I67" t="s">
        <v>523</v>
      </c>
      <c r="J67" t="str">
        <f t="shared" si="2"/>
        <v>Not renal genetic testing study</v>
      </c>
      <c r="K67" t="s">
        <v>607</v>
      </c>
    </row>
    <row r="68" spans="1:11">
      <c r="A68">
        <v>34521993</v>
      </c>
      <c r="B68" t="s">
        <v>225</v>
      </c>
      <c r="C68">
        <v>2022</v>
      </c>
      <c r="D68" t="s">
        <v>522</v>
      </c>
      <c r="E68">
        <v>0</v>
      </c>
      <c r="F68" t="s">
        <v>523</v>
      </c>
      <c r="G68">
        <v>0</v>
      </c>
      <c r="I68" t="s">
        <v>523</v>
      </c>
      <c r="J68" t="str">
        <f t="shared" si="2"/>
        <v>Not renal genetic testing study</v>
      </c>
      <c r="K68" t="s">
        <v>609</v>
      </c>
    </row>
    <row r="69" spans="1:11">
      <c r="A69">
        <v>36688940</v>
      </c>
      <c r="B69" t="s">
        <v>227</v>
      </c>
      <c r="C69">
        <v>2023</v>
      </c>
      <c r="D69" t="s">
        <v>522</v>
      </c>
      <c r="E69">
        <v>0</v>
      </c>
      <c r="F69" t="s">
        <v>523</v>
      </c>
      <c r="G69">
        <v>0</v>
      </c>
      <c r="I69" t="s">
        <v>523</v>
      </c>
      <c r="J69" t="str">
        <f t="shared" si="2"/>
        <v>Not renal genetic testing study</v>
      </c>
      <c r="K69" t="s">
        <v>610</v>
      </c>
    </row>
    <row r="70" spans="1:11">
      <c r="A70">
        <v>35980750</v>
      </c>
      <c r="B70" t="s">
        <v>229</v>
      </c>
      <c r="C70">
        <v>2022</v>
      </c>
      <c r="D70" t="s">
        <v>522</v>
      </c>
      <c r="E70">
        <v>0</v>
      </c>
      <c r="F70" t="s">
        <v>523</v>
      </c>
      <c r="G70">
        <v>0</v>
      </c>
      <c r="I70" t="s">
        <v>523</v>
      </c>
      <c r="J70" t="str">
        <f t="shared" si="2"/>
        <v>Not renal genetic testing study</v>
      </c>
      <c r="K70" t="s">
        <v>611</v>
      </c>
    </row>
    <row r="71" spans="1:11">
      <c r="A71">
        <v>34946941</v>
      </c>
      <c r="B71" t="s">
        <v>232</v>
      </c>
      <c r="C71">
        <v>2021</v>
      </c>
      <c r="D71" t="s">
        <v>522</v>
      </c>
      <c r="E71">
        <v>0</v>
      </c>
      <c r="F71" t="s">
        <v>523</v>
      </c>
      <c r="G71">
        <v>0</v>
      </c>
      <c r="I71" t="s">
        <v>523</v>
      </c>
      <c r="J71" t="str">
        <f t="shared" si="2"/>
        <v>Not renal genetic testing study</v>
      </c>
      <c r="K71" t="s">
        <v>612</v>
      </c>
    </row>
    <row r="72" spans="1:11">
      <c r="A72">
        <v>31646670</v>
      </c>
      <c r="B72" t="s">
        <v>234</v>
      </c>
      <c r="C72">
        <v>2020</v>
      </c>
      <c r="D72" t="s">
        <v>522</v>
      </c>
      <c r="E72">
        <v>0</v>
      </c>
      <c r="F72" t="s">
        <v>523</v>
      </c>
      <c r="G72">
        <v>0</v>
      </c>
      <c r="I72" t="s">
        <v>523</v>
      </c>
      <c r="J72" t="str">
        <f t="shared" si="2"/>
        <v>Not renal genetic testing study</v>
      </c>
      <c r="K72" t="s">
        <v>613</v>
      </c>
    </row>
    <row r="73" spans="1:11">
      <c r="A73">
        <v>34545573</v>
      </c>
      <c r="B73" t="s">
        <v>237</v>
      </c>
      <c r="C73">
        <v>2022</v>
      </c>
      <c r="D73" t="s">
        <v>522</v>
      </c>
      <c r="E73">
        <v>0</v>
      </c>
      <c r="F73" t="s">
        <v>523</v>
      </c>
      <c r="G73">
        <v>0</v>
      </c>
      <c r="I73" t="s">
        <v>523</v>
      </c>
      <c r="J73" t="str">
        <f t="shared" si="2"/>
        <v>Not renal genetic testing study</v>
      </c>
      <c r="K73" t="s">
        <v>614</v>
      </c>
    </row>
    <row r="74" spans="1:11">
      <c r="A74">
        <v>39333970</v>
      </c>
      <c r="B74" t="s">
        <v>240</v>
      </c>
      <c r="C74">
        <v>2024</v>
      </c>
      <c r="D74" t="s">
        <v>522</v>
      </c>
      <c r="E74">
        <v>0</v>
      </c>
      <c r="F74" t="s">
        <v>523</v>
      </c>
      <c r="G74">
        <v>0</v>
      </c>
      <c r="I74" t="s">
        <v>523</v>
      </c>
      <c r="J74" t="str">
        <f t="shared" si="2"/>
        <v>Not renal genetic testing study</v>
      </c>
      <c r="K74" t="s">
        <v>615</v>
      </c>
    </row>
    <row r="75" spans="1:11">
      <c r="A75">
        <v>34134020</v>
      </c>
      <c r="B75" t="s">
        <v>243</v>
      </c>
      <c r="C75">
        <v>2021</v>
      </c>
      <c r="D75" t="s">
        <v>522</v>
      </c>
      <c r="E75">
        <v>0</v>
      </c>
      <c r="F75" t="s">
        <v>523</v>
      </c>
      <c r="G75">
        <v>0</v>
      </c>
      <c r="I75" t="s">
        <v>523</v>
      </c>
      <c r="J75" t="str">
        <f t="shared" si="2"/>
        <v>Not renal genetic testing study</v>
      </c>
      <c r="K75" t="s">
        <v>616</v>
      </c>
    </row>
    <row r="76" spans="1:11">
      <c r="A76">
        <v>34565606</v>
      </c>
      <c r="B76" t="s">
        <v>246</v>
      </c>
      <c r="C76">
        <v>2022</v>
      </c>
      <c r="D76" t="s">
        <v>522</v>
      </c>
      <c r="E76">
        <v>0</v>
      </c>
      <c r="F76" t="s">
        <v>523</v>
      </c>
      <c r="G76">
        <v>0</v>
      </c>
      <c r="I76" t="s">
        <v>523</v>
      </c>
      <c r="J76" t="str">
        <f t="shared" si="2"/>
        <v>Not renal genetic testing study</v>
      </c>
      <c r="K76" t="s">
        <v>617</v>
      </c>
    </row>
    <row r="77" spans="1:11">
      <c r="A77">
        <v>32029730</v>
      </c>
      <c r="B77" t="s">
        <v>249</v>
      </c>
      <c r="C77">
        <v>2020</v>
      </c>
      <c r="D77" t="s">
        <v>522</v>
      </c>
      <c r="E77">
        <v>0</v>
      </c>
      <c r="F77" t="s">
        <v>523</v>
      </c>
      <c r="G77">
        <v>0</v>
      </c>
      <c r="I77" t="s">
        <v>523</v>
      </c>
      <c r="J77" t="str">
        <f t="shared" si="2"/>
        <v>Not renal genetic testing study</v>
      </c>
      <c r="K77" t="s">
        <v>618</v>
      </c>
    </row>
    <row r="78" spans="1:11">
      <c r="A78">
        <v>35064937</v>
      </c>
      <c r="B78" t="s">
        <v>251</v>
      </c>
      <c r="C78">
        <v>2022</v>
      </c>
      <c r="D78" t="s">
        <v>522</v>
      </c>
      <c r="E78">
        <v>0</v>
      </c>
      <c r="F78" t="s">
        <v>523</v>
      </c>
      <c r="G78">
        <v>0</v>
      </c>
      <c r="I78" t="s">
        <v>523</v>
      </c>
      <c r="J78" t="str">
        <f t="shared" si="2"/>
        <v>Not renal genetic testing study</v>
      </c>
      <c r="K78" t="s">
        <v>619</v>
      </c>
    </row>
    <row r="79" spans="1:11">
      <c r="A79">
        <v>36463540</v>
      </c>
      <c r="B79" t="s">
        <v>253</v>
      </c>
      <c r="C79">
        <v>2023</v>
      </c>
      <c r="D79" t="s">
        <v>522</v>
      </c>
      <c r="E79">
        <v>0</v>
      </c>
      <c r="F79" t="s">
        <v>523</v>
      </c>
      <c r="G79">
        <v>0</v>
      </c>
      <c r="I79" t="s">
        <v>523</v>
      </c>
      <c r="J79" t="str">
        <f t="shared" si="2"/>
        <v>Not renal genetic testing study</v>
      </c>
      <c r="K79" t="s">
        <v>620</v>
      </c>
    </row>
    <row r="80" spans="1:11">
      <c r="A80">
        <v>32398770</v>
      </c>
      <c r="B80" t="s">
        <v>256</v>
      </c>
      <c r="C80">
        <v>2020</v>
      </c>
      <c r="D80" t="s">
        <v>522</v>
      </c>
      <c r="E80">
        <v>0</v>
      </c>
      <c r="F80" t="s">
        <v>523</v>
      </c>
      <c r="G80">
        <v>0</v>
      </c>
      <c r="I80" t="s">
        <v>523</v>
      </c>
      <c r="J80" t="str">
        <f t="shared" si="2"/>
        <v>Not renal genetic testing study</v>
      </c>
      <c r="K80" t="s">
        <v>621</v>
      </c>
    </row>
    <row r="81" spans="1:11">
      <c r="A81">
        <v>33958773</v>
      </c>
      <c r="B81" t="s">
        <v>258</v>
      </c>
      <c r="C81">
        <v>2021</v>
      </c>
      <c r="D81" t="s">
        <v>522</v>
      </c>
      <c r="E81">
        <v>0</v>
      </c>
      <c r="F81" t="s">
        <v>523</v>
      </c>
      <c r="G81">
        <v>0</v>
      </c>
      <c r="I81" t="s">
        <v>523</v>
      </c>
      <c r="J81" t="str">
        <f t="shared" si="2"/>
        <v>Not renal genetic testing study</v>
      </c>
      <c r="K81" t="s">
        <v>622</v>
      </c>
    </row>
    <row r="82" spans="1:11">
      <c r="A82">
        <v>38347632</v>
      </c>
      <c r="B82" t="s">
        <v>260</v>
      </c>
      <c r="C82">
        <v>2024</v>
      </c>
      <c r="D82" t="s">
        <v>522</v>
      </c>
      <c r="E82">
        <v>0</v>
      </c>
      <c r="F82" t="s">
        <v>523</v>
      </c>
      <c r="G82">
        <v>0</v>
      </c>
      <c r="I82" t="s">
        <v>523</v>
      </c>
      <c r="J82" t="str">
        <f t="shared" si="2"/>
        <v>Not renal genetic testing study</v>
      </c>
      <c r="K82" t="s">
        <v>623</v>
      </c>
    </row>
    <row r="83" spans="1:11">
      <c r="A83">
        <v>34148064</v>
      </c>
      <c r="B83" t="s">
        <v>263</v>
      </c>
      <c r="C83">
        <v>2021</v>
      </c>
      <c r="D83" t="s">
        <v>522</v>
      </c>
      <c r="E83">
        <v>0</v>
      </c>
      <c r="F83" t="s">
        <v>523</v>
      </c>
      <c r="G83">
        <v>0</v>
      </c>
      <c r="I83" t="s">
        <v>523</v>
      </c>
      <c r="J83" t="str">
        <f t="shared" si="2"/>
        <v>Not renal genetic testing study</v>
      </c>
      <c r="K83" t="s">
        <v>624</v>
      </c>
    </row>
    <row r="84" spans="1:11">
      <c r="A84">
        <v>34327334</v>
      </c>
      <c r="B84" t="s">
        <v>265</v>
      </c>
      <c r="C84">
        <v>2020</v>
      </c>
      <c r="D84" t="s">
        <v>522</v>
      </c>
      <c r="E84">
        <v>0</v>
      </c>
      <c r="F84" t="s">
        <v>523</v>
      </c>
      <c r="G84">
        <v>0</v>
      </c>
      <c r="I84" t="s">
        <v>523</v>
      </c>
      <c r="J84" t="str">
        <f t="shared" si="2"/>
        <v>Not renal genetic testing study</v>
      </c>
      <c r="K84" t="s">
        <v>625</v>
      </c>
    </row>
    <row r="85" spans="1:11">
      <c r="A85">
        <v>37042117</v>
      </c>
      <c r="B85" t="s">
        <v>267</v>
      </c>
      <c r="C85">
        <v>2024</v>
      </c>
      <c r="D85" t="s">
        <v>522</v>
      </c>
      <c r="E85">
        <v>0</v>
      </c>
      <c r="F85" t="s">
        <v>523</v>
      </c>
      <c r="G85">
        <v>0</v>
      </c>
      <c r="I85" t="s">
        <v>523</v>
      </c>
      <c r="J85" t="str">
        <f t="shared" si="2"/>
        <v>Not renal genetic testing study</v>
      </c>
      <c r="K85" t="s">
        <v>626</v>
      </c>
    </row>
    <row r="86" spans="1:11">
      <c r="A86">
        <v>39150521</v>
      </c>
      <c r="B86" t="s">
        <v>270</v>
      </c>
      <c r="C86">
        <v>2025</v>
      </c>
      <c r="D86" t="s">
        <v>522</v>
      </c>
      <c r="E86">
        <v>0</v>
      </c>
      <c r="F86" t="s">
        <v>523</v>
      </c>
      <c r="G86">
        <v>0</v>
      </c>
      <c r="I86" t="s">
        <v>523</v>
      </c>
      <c r="J86" t="str">
        <f t="shared" si="2"/>
        <v>Not renal genetic testing study</v>
      </c>
      <c r="K86" t="s">
        <v>627</v>
      </c>
    </row>
    <row r="87" spans="1:11">
      <c r="A87">
        <v>35369652</v>
      </c>
      <c r="B87" t="s">
        <v>272</v>
      </c>
      <c r="C87">
        <v>2021</v>
      </c>
      <c r="D87" t="s">
        <v>522</v>
      </c>
      <c r="E87">
        <v>0</v>
      </c>
      <c r="F87" t="s">
        <v>523</v>
      </c>
      <c r="G87">
        <v>0</v>
      </c>
      <c r="I87" t="s">
        <v>523</v>
      </c>
      <c r="J87" t="str">
        <f t="shared" si="2"/>
        <v>Not renal genetic testing study</v>
      </c>
      <c r="K87" t="s">
        <v>628</v>
      </c>
    </row>
    <row r="88" spans="1:11">
      <c r="A88">
        <v>38906652</v>
      </c>
      <c r="B88" t="s">
        <v>274</v>
      </c>
      <c r="C88">
        <v>2024</v>
      </c>
      <c r="D88" t="s">
        <v>522</v>
      </c>
      <c r="E88">
        <v>0</v>
      </c>
      <c r="F88" t="s">
        <v>523</v>
      </c>
      <c r="G88">
        <v>0</v>
      </c>
      <c r="I88" t="s">
        <v>523</v>
      </c>
      <c r="J88" t="str">
        <f t="shared" si="2"/>
        <v>Not renal genetic testing study</v>
      </c>
      <c r="K88" t="s">
        <v>629</v>
      </c>
    </row>
    <row r="89" spans="1:11">
      <c r="A89">
        <v>35244702</v>
      </c>
      <c r="B89" t="s">
        <v>276</v>
      </c>
      <c r="C89">
        <v>2022</v>
      </c>
      <c r="D89" t="s">
        <v>522</v>
      </c>
      <c r="E89">
        <v>0</v>
      </c>
      <c r="F89" t="s">
        <v>523</v>
      </c>
      <c r="G89">
        <v>0</v>
      </c>
      <c r="I89" t="s">
        <v>523</v>
      </c>
      <c r="J89" t="str">
        <f t="shared" si="2"/>
        <v>Not renal genetic testing study</v>
      </c>
      <c r="K89" t="s">
        <v>630</v>
      </c>
    </row>
    <row r="90" spans="1:11">
      <c r="A90">
        <v>39363241</v>
      </c>
      <c r="B90" t="s">
        <v>279</v>
      </c>
      <c r="C90">
        <v>2024</v>
      </c>
      <c r="D90" t="s">
        <v>522</v>
      </c>
      <c r="E90">
        <v>0</v>
      </c>
      <c r="F90" t="s">
        <v>523</v>
      </c>
      <c r="G90">
        <v>0</v>
      </c>
      <c r="I90" t="s">
        <v>523</v>
      </c>
      <c r="J90" t="str">
        <f t="shared" si="2"/>
        <v>Not renal genetic testing study</v>
      </c>
      <c r="K90" t="s">
        <v>631</v>
      </c>
    </row>
    <row r="91" spans="1:11">
      <c r="A91">
        <v>32299846</v>
      </c>
      <c r="B91" t="s">
        <v>282</v>
      </c>
      <c r="C91">
        <v>2020</v>
      </c>
      <c r="D91" t="s">
        <v>522</v>
      </c>
      <c r="E91">
        <v>0</v>
      </c>
      <c r="F91" t="s">
        <v>523</v>
      </c>
      <c r="G91">
        <v>0</v>
      </c>
      <c r="I91" t="s">
        <v>523</v>
      </c>
      <c r="J91" t="str">
        <f t="shared" si="2"/>
        <v>Not renal genetic testing study</v>
      </c>
      <c r="K91" t="s">
        <v>632</v>
      </c>
    </row>
    <row r="92" spans="1:11">
      <c r="A92">
        <v>32779812</v>
      </c>
      <c r="B92" t="s">
        <v>284</v>
      </c>
      <c r="C92">
        <v>2020</v>
      </c>
      <c r="D92" t="s">
        <v>522</v>
      </c>
      <c r="E92">
        <v>0</v>
      </c>
      <c r="F92" t="s">
        <v>523</v>
      </c>
      <c r="G92">
        <v>0</v>
      </c>
      <c r="I92" t="s">
        <v>523</v>
      </c>
      <c r="J92" t="str">
        <f t="shared" si="2"/>
        <v>Not renal genetic testing study</v>
      </c>
      <c r="K92" t="s">
        <v>633</v>
      </c>
    </row>
    <row r="93" spans="1:11">
      <c r="A93">
        <v>39626636</v>
      </c>
      <c r="B93" t="s">
        <v>287</v>
      </c>
      <c r="C93">
        <v>2025</v>
      </c>
      <c r="D93" t="s">
        <v>522</v>
      </c>
      <c r="E93">
        <v>0</v>
      </c>
      <c r="F93" t="s">
        <v>523</v>
      </c>
      <c r="G93">
        <v>0</v>
      </c>
      <c r="I93" t="s">
        <v>523</v>
      </c>
      <c r="J93" t="str">
        <f t="shared" si="2"/>
        <v>Not renal genetic testing study</v>
      </c>
      <c r="K93" t="s">
        <v>634</v>
      </c>
    </row>
    <row r="94" spans="1:11">
      <c r="A94">
        <v>38932496</v>
      </c>
      <c r="B94" t="s">
        <v>289</v>
      </c>
      <c r="C94">
        <v>2024</v>
      </c>
      <c r="D94" t="s">
        <v>522</v>
      </c>
      <c r="E94">
        <v>0</v>
      </c>
      <c r="F94" t="s">
        <v>523</v>
      </c>
      <c r="G94">
        <v>0</v>
      </c>
      <c r="I94" t="s">
        <v>523</v>
      </c>
      <c r="J94" t="str">
        <f t="shared" si="2"/>
        <v>Not renal genetic testing study</v>
      </c>
      <c r="K94" t="s">
        <v>635</v>
      </c>
    </row>
    <row r="95" spans="1:11">
      <c r="A95">
        <v>33407230</v>
      </c>
      <c r="B95" t="s">
        <v>292</v>
      </c>
      <c r="C95">
        <v>2021</v>
      </c>
      <c r="D95" t="s">
        <v>522</v>
      </c>
      <c r="E95">
        <v>0</v>
      </c>
      <c r="F95" t="s">
        <v>523</v>
      </c>
      <c r="G95">
        <v>0</v>
      </c>
      <c r="I95" t="s">
        <v>523</v>
      </c>
      <c r="J95" t="str">
        <f t="shared" si="2"/>
        <v>Not renal genetic testing study</v>
      </c>
      <c r="K95" t="s">
        <v>636</v>
      </c>
    </row>
    <row r="96" spans="1:11">
      <c r="A96">
        <v>37864521</v>
      </c>
      <c r="B96" t="s">
        <v>294</v>
      </c>
      <c r="C96">
        <v>2024</v>
      </c>
      <c r="D96" t="s">
        <v>522</v>
      </c>
      <c r="E96">
        <v>0</v>
      </c>
      <c r="F96" t="s">
        <v>523</v>
      </c>
      <c r="G96">
        <v>0</v>
      </c>
      <c r="I96" t="s">
        <v>523</v>
      </c>
      <c r="J96" t="str">
        <f t="shared" si="2"/>
        <v>Not renal genetic testing study</v>
      </c>
      <c r="K96" t="s">
        <v>637</v>
      </c>
    </row>
    <row r="97" spans="1:11">
      <c r="A97">
        <v>33693791</v>
      </c>
      <c r="B97" t="s">
        <v>296</v>
      </c>
      <c r="C97">
        <v>2021</v>
      </c>
      <c r="D97" t="s">
        <v>522</v>
      </c>
      <c r="E97">
        <v>0</v>
      </c>
      <c r="F97" t="s">
        <v>523</v>
      </c>
      <c r="G97">
        <v>0</v>
      </c>
      <c r="I97" t="s">
        <v>523</v>
      </c>
      <c r="J97" t="str">
        <f t="shared" si="2"/>
        <v>Not renal genetic testing study</v>
      </c>
      <c r="K97" t="s">
        <v>638</v>
      </c>
    </row>
    <row r="98" spans="1:11">
      <c r="A98">
        <v>32969247</v>
      </c>
      <c r="B98" t="s">
        <v>298</v>
      </c>
      <c r="C98">
        <v>2020</v>
      </c>
      <c r="D98" t="s">
        <v>522</v>
      </c>
      <c r="E98">
        <v>0</v>
      </c>
      <c r="F98" t="s">
        <v>523</v>
      </c>
      <c r="G98">
        <v>0</v>
      </c>
      <c r="I98" t="s">
        <v>523</v>
      </c>
      <c r="J98" t="str">
        <f t="shared" ref="J98:J129" si="3">IF(F98=("exclude"), ("Not renal genetic testing study"))</f>
        <v>Not renal genetic testing study</v>
      </c>
      <c r="K98" t="s">
        <v>639</v>
      </c>
    </row>
    <row r="99" spans="1:11">
      <c r="A99">
        <v>35429337</v>
      </c>
      <c r="B99" t="s">
        <v>301</v>
      </c>
      <c r="C99">
        <v>2022</v>
      </c>
      <c r="D99" t="s">
        <v>522</v>
      </c>
      <c r="E99">
        <v>0</v>
      </c>
      <c r="F99" t="s">
        <v>523</v>
      </c>
      <c r="G99">
        <v>0</v>
      </c>
      <c r="I99" t="s">
        <v>523</v>
      </c>
      <c r="J99" t="str">
        <f t="shared" si="3"/>
        <v>Not renal genetic testing study</v>
      </c>
      <c r="K99" t="s">
        <v>640</v>
      </c>
    </row>
    <row r="100" spans="1:11">
      <c r="A100">
        <v>38547852</v>
      </c>
      <c r="B100" t="s">
        <v>303</v>
      </c>
      <c r="C100">
        <v>2024</v>
      </c>
      <c r="D100" t="s">
        <v>522</v>
      </c>
      <c r="E100">
        <v>0</v>
      </c>
      <c r="F100" t="s">
        <v>523</v>
      </c>
      <c r="G100">
        <v>0</v>
      </c>
      <c r="I100" t="s">
        <v>523</v>
      </c>
      <c r="J100" t="str">
        <f t="shared" si="3"/>
        <v>Not renal genetic testing study</v>
      </c>
      <c r="K100" t="s">
        <v>641</v>
      </c>
    </row>
    <row r="101" spans="1:11">
      <c r="A101">
        <v>39143076</v>
      </c>
      <c r="B101" t="s">
        <v>306</v>
      </c>
      <c r="C101">
        <v>2024</v>
      </c>
      <c r="D101" t="s">
        <v>522</v>
      </c>
      <c r="E101">
        <v>0</v>
      </c>
      <c r="F101" t="s">
        <v>523</v>
      </c>
      <c r="G101">
        <v>0</v>
      </c>
      <c r="I101" t="s">
        <v>523</v>
      </c>
      <c r="J101" t="str">
        <f t="shared" si="3"/>
        <v>Not renal genetic testing study</v>
      </c>
      <c r="K101" t="s">
        <v>642</v>
      </c>
    </row>
    <row r="102" spans="1:11">
      <c r="A102">
        <v>37228720</v>
      </c>
      <c r="B102" t="s">
        <v>309</v>
      </c>
      <c r="C102">
        <v>2023</v>
      </c>
      <c r="D102" t="s">
        <v>522</v>
      </c>
      <c r="E102">
        <v>0</v>
      </c>
      <c r="F102" t="s">
        <v>523</v>
      </c>
      <c r="G102">
        <v>0</v>
      </c>
      <c r="I102" t="s">
        <v>523</v>
      </c>
      <c r="J102" t="str">
        <f t="shared" si="3"/>
        <v>Not renal genetic testing study</v>
      </c>
      <c r="K102" t="s">
        <v>643</v>
      </c>
    </row>
    <row r="103" spans="1:11">
      <c r="A103">
        <v>34628264</v>
      </c>
      <c r="B103" t="s">
        <v>311</v>
      </c>
      <c r="C103">
        <v>2021</v>
      </c>
      <c r="D103" t="s">
        <v>522</v>
      </c>
      <c r="E103">
        <v>0</v>
      </c>
      <c r="F103" t="s">
        <v>523</v>
      </c>
      <c r="G103">
        <v>0</v>
      </c>
      <c r="I103" t="s">
        <v>523</v>
      </c>
      <c r="J103" t="str">
        <f t="shared" si="3"/>
        <v>Not renal genetic testing study</v>
      </c>
      <c r="K103" t="s">
        <v>644</v>
      </c>
    </row>
    <row r="104" spans="1:11">
      <c r="A104">
        <v>36547129</v>
      </c>
      <c r="B104" t="s">
        <v>314</v>
      </c>
      <c r="C104">
        <v>2022</v>
      </c>
      <c r="D104" t="s">
        <v>522</v>
      </c>
      <c r="E104">
        <v>0</v>
      </c>
      <c r="F104" t="s">
        <v>523</v>
      </c>
      <c r="G104">
        <v>0</v>
      </c>
      <c r="I104" t="s">
        <v>523</v>
      </c>
      <c r="J104" t="str">
        <f t="shared" si="3"/>
        <v>Not renal genetic testing study</v>
      </c>
      <c r="K104" t="s">
        <v>645</v>
      </c>
    </row>
    <row r="105" spans="1:11">
      <c r="A105">
        <v>34923958</v>
      </c>
      <c r="B105" t="s">
        <v>319</v>
      </c>
      <c r="C105">
        <v>2021</v>
      </c>
      <c r="D105" t="s">
        <v>522</v>
      </c>
      <c r="E105">
        <v>0</v>
      </c>
      <c r="F105" t="s">
        <v>523</v>
      </c>
      <c r="G105">
        <v>0</v>
      </c>
      <c r="I105" t="s">
        <v>523</v>
      </c>
      <c r="J105" t="str">
        <f t="shared" si="3"/>
        <v>Not renal genetic testing study</v>
      </c>
      <c r="K105" t="s">
        <v>647</v>
      </c>
    </row>
    <row r="106" spans="1:11">
      <c r="A106">
        <v>39832277</v>
      </c>
      <c r="B106" t="s">
        <v>321</v>
      </c>
      <c r="C106">
        <v>2025</v>
      </c>
      <c r="D106" t="s">
        <v>522</v>
      </c>
      <c r="E106">
        <v>0</v>
      </c>
      <c r="F106" t="s">
        <v>523</v>
      </c>
      <c r="G106">
        <v>0</v>
      </c>
      <c r="I106" t="s">
        <v>523</v>
      </c>
      <c r="J106" t="str">
        <f t="shared" si="3"/>
        <v>Not renal genetic testing study</v>
      </c>
      <c r="K106" t="s">
        <v>648</v>
      </c>
    </row>
    <row r="107" spans="1:11">
      <c r="A107">
        <v>31999492</v>
      </c>
      <c r="B107" t="s">
        <v>324</v>
      </c>
      <c r="C107">
        <v>2020</v>
      </c>
      <c r="D107" t="s">
        <v>522</v>
      </c>
      <c r="E107">
        <v>0</v>
      </c>
      <c r="F107" t="s">
        <v>523</v>
      </c>
      <c r="G107">
        <v>0</v>
      </c>
      <c r="I107" t="s">
        <v>523</v>
      </c>
      <c r="J107" t="str">
        <f t="shared" si="3"/>
        <v>Not renal genetic testing study</v>
      </c>
      <c r="K107" t="s">
        <v>649</v>
      </c>
    </row>
    <row r="108" spans="1:11">
      <c r="A108">
        <v>32723786</v>
      </c>
      <c r="B108" t="s">
        <v>327</v>
      </c>
      <c r="C108">
        <v>2020</v>
      </c>
      <c r="D108" t="s">
        <v>522</v>
      </c>
      <c r="E108">
        <v>0</v>
      </c>
      <c r="F108" t="s">
        <v>523</v>
      </c>
      <c r="G108">
        <v>0</v>
      </c>
      <c r="I108" t="s">
        <v>523</v>
      </c>
      <c r="J108" t="str">
        <f t="shared" si="3"/>
        <v>Not renal genetic testing study</v>
      </c>
      <c r="K108" t="s">
        <v>650</v>
      </c>
    </row>
    <row r="109" spans="1:11">
      <c r="A109">
        <v>33107440</v>
      </c>
      <c r="B109" t="s">
        <v>330</v>
      </c>
      <c r="C109">
        <v>2020</v>
      </c>
      <c r="D109" t="s">
        <v>522</v>
      </c>
      <c r="E109">
        <v>0</v>
      </c>
      <c r="F109" t="s">
        <v>523</v>
      </c>
      <c r="G109">
        <v>0</v>
      </c>
      <c r="I109" t="s">
        <v>523</v>
      </c>
      <c r="J109" t="str">
        <f t="shared" si="3"/>
        <v>Not renal genetic testing study</v>
      </c>
      <c r="K109" t="s">
        <v>651</v>
      </c>
    </row>
    <row r="110" spans="1:11">
      <c r="A110">
        <v>30953057</v>
      </c>
      <c r="B110" t="s">
        <v>333</v>
      </c>
      <c r="C110">
        <v>2020</v>
      </c>
      <c r="D110" t="s">
        <v>522</v>
      </c>
      <c r="E110">
        <v>0</v>
      </c>
      <c r="F110" t="s">
        <v>523</v>
      </c>
      <c r="G110">
        <v>0</v>
      </c>
      <c r="I110" t="s">
        <v>523</v>
      </c>
      <c r="J110" t="str">
        <f t="shared" si="3"/>
        <v>Not renal genetic testing study</v>
      </c>
      <c r="K110" t="s">
        <v>652</v>
      </c>
    </row>
    <row r="111" spans="1:11">
      <c r="A111">
        <v>37468236</v>
      </c>
      <c r="B111" t="s">
        <v>336</v>
      </c>
      <c r="C111">
        <v>2023</v>
      </c>
      <c r="D111" t="s">
        <v>522</v>
      </c>
      <c r="E111">
        <v>0</v>
      </c>
      <c r="F111" t="s">
        <v>523</v>
      </c>
      <c r="G111">
        <v>0</v>
      </c>
      <c r="I111" t="s">
        <v>523</v>
      </c>
      <c r="J111" t="str">
        <f t="shared" si="3"/>
        <v>Not renal genetic testing study</v>
      </c>
      <c r="K111" t="s">
        <v>653</v>
      </c>
    </row>
    <row r="112" spans="1:11">
      <c r="A112">
        <v>32803290</v>
      </c>
      <c r="B112" t="s">
        <v>339</v>
      </c>
      <c r="C112">
        <v>2021</v>
      </c>
      <c r="D112" t="s">
        <v>522</v>
      </c>
      <c r="E112">
        <v>0</v>
      </c>
      <c r="F112" t="s">
        <v>523</v>
      </c>
      <c r="G112">
        <v>0</v>
      </c>
      <c r="I112" t="s">
        <v>523</v>
      </c>
      <c r="J112" t="str">
        <f t="shared" si="3"/>
        <v>Not renal genetic testing study</v>
      </c>
      <c r="K112" t="s">
        <v>654</v>
      </c>
    </row>
    <row r="113" spans="1:11">
      <c r="A113">
        <v>38609702</v>
      </c>
      <c r="B113" t="s">
        <v>342</v>
      </c>
      <c r="C113">
        <v>2024</v>
      </c>
      <c r="D113" t="s">
        <v>522</v>
      </c>
      <c r="E113">
        <v>0</v>
      </c>
      <c r="F113" t="s">
        <v>523</v>
      </c>
      <c r="G113">
        <v>0</v>
      </c>
      <c r="I113" t="s">
        <v>523</v>
      </c>
      <c r="J113" t="str">
        <f t="shared" si="3"/>
        <v>Not renal genetic testing study</v>
      </c>
      <c r="K113" t="s">
        <v>655</v>
      </c>
    </row>
    <row r="114" spans="1:11">
      <c r="A114">
        <v>32600054</v>
      </c>
      <c r="B114" t="s">
        <v>345</v>
      </c>
      <c r="C114">
        <v>2020</v>
      </c>
      <c r="D114" t="s">
        <v>522</v>
      </c>
      <c r="E114">
        <v>0</v>
      </c>
      <c r="F114" t="s">
        <v>523</v>
      </c>
      <c r="G114">
        <v>0</v>
      </c>
      <c r="I114" t="s">
        <v>523</v>
      </c>
      <c r="J114" t="str">
        <f t="shared" si="3"/>
        <v>Not renal genetic testing study</v>
      </c>
      <c r="K114" t="s">
        <v>656</v>
      </c>
    </row>
    <row r="115" spans="1:11">
      <c r="A115">
        <v>32828237</v>
      </c>
      <c r="B115" t="s">
        <v>348</v>
      </c>
      <c r="C115">
        <v>2020</v>
      </c>
      <c r="D115" t="s">
        <v>522</v>
      </c>
      <c r="E115">
        <v>0</v>
      </c>
      <c r="F115" t="s">
        <v>523</v>
      </c>
      <c r="G115">
        <v>0</v>
      </c>
      <c r="I115" t="s">
        <v>523</v>
      </c>
      <c r="J115" t="str">
        <f t="shared" si="3"/>
        <v>Not renal genetic testing study</v>
      </c>
      <c r="K115" t="s">
        <v>657</v>
      </c>
    </row>
    <row r="116" spans="1:11">
      <c r="A116">
        <v>39107157</v>
      </c>
      <c r="B116" t="s">
        <v>350</v>
      </c>
      <c r="C116">
        <v>2024</v>
      </c>
      <c r="D116" t="s">
        <v>522</v>
      </c>
      <c r="E116">
        <v>0</v>
      </c>
      <c r="F116" t="s">
        <v>523</v>
      </c>
      <c r="G116">
        <v>0</v>
      </c>
      <c r="I116" t="s">
        <v>523</v>
      </c>
      <c r="J116" t="str">
        <f t="shared" si="3"/>
        <v>Not renal genetic testing study</v>
      </c>
      <c r="K116" t="s">
        <v>658</v>
      </c>
    </row>
    <row r="117" spans="1:11">
      <c r="A117">
        <v>33534524</v>
      </c>
      <c r="B117" t="s">
        <v>353</v>
      </c>
      <c r="C117">
        <v>2021</v>
      </c>
      <c r="D117" t="s">
        <v>522</v>
      </c>
      <c r="E117">
        <v>0</v>
      </c>
      <c r="F117" t="s">
        <v>523</v>
      </c>
      <c r="G117">
        <v>0</v>
      </c>
      <c r="I117" t="s">
        <v>523</v>
      </c>
      <c r="J117" t="str">
        <f t="shared" si="3"/>
        <v>Not renal genetic testing study</v>
      </c>
      <c r="K117" t="s">
        <v>659</v>
      </c>
    </row>
    <row r="118" spans="1:11">
      <c r="A118">
        <v>34197840</v>
      </c>
      <c r="B118" t="s">
        <v>355</v>
      </c>
      <c r="C118">
        <v>2021</v>
      </c>
      <c r="D118" t="s">
        <v>522</v>
      </c>
      <c r="E118">
        <v>0</v>
      </c>
      <c r="F118" t="s">
        <v>523</v>
      </c>
      <c r="G118">
        <v>0</v>
      </c>
      <c r="I118" t="s">
        <v>523</v>
      </c>
      <c r="J118" t="str">
        <f t="shared" si="3"/>
        <v>Not renal genetic testing study</v>
      </c>
      <c r="K118" t="s">
        <v>660</v>
      </c>
    </row>
    <row r="119" spans="1:11">
      <c r="A119">
        <v>32334565</v>
      </c>
      <c r="B119" t="s">
        <v>357</v>
      </c>
      <c r="C119">
        <v>2020</v>
      </c>
      <c r="D119" t="s">
        <v>522</v>
      </c>
      <c r="E119">
        <v>0</v>
      </c>
      <c r="F119" t="s">
        <v>523</v>
      </c>
      <c r="G119">
        <v>0</v>
      </c>
      <c r="I119" t="s">
        <v>523</v>
      </c>
      <c r="J119" t="str">
        <f t="shared" si="3"/>
        <v>Not renal genetic testing study</v>
      </c>
      <c r="K119" t="s">
        <v>661</v>
      </c>
    </row>
    <row r="120" spans="1:11">
      <c r="A120">
        <v>36782285</v>
      </c>
      <c r="B120" t="s">
        <v>359</v>
      </c>
      <c r="C120">
        <v>2023</v>
      </c>
      <c r="D120" t="s">
        <v>522</v>
      </c>
      <c r="E120">
        <v>0</v>
      </c>
      <c r="F120" t="s">
        <v>523</v>
      </c>
      <c r="G120">
        <v>0</v>
      </c>
      <c r="I120" t="s">
        <v>523</v>
      </c>
      <c r="J120" t="str">
        <f t="shared" si="3"/>
        <v>Not renal genetic testing study</v>
      </c>
      <c r="K120" t="s">
        <v>662</v>
      </c>
    </row>
    <row r="121" spans="1:11">
      <c r="A121">
        <v>35314744</v>
      </c>
      <c r="B121" t="s">
        <v>362</v>
      </c>
      <c r="C121">
        <v>2022</v>
      </c>
      <c r="D121" t="s">
        <v>522</v>
      </c>
      <c r="E121">
        <v>0</v>
      </c>
      <c r="F121" t="s">
        <v>523</v>
      </c>
      <c r="G121">
        <v>0</v>
      </c>
      <c r="I121" t="s">
        <v>523</v>
      </c>
      <c r="J121" t="str">
        <f t="shared" si="3"/>
        <v>Not renal genetic testing study</v>
      </c>
      <c r="K121" t="s">
        <v>663</v>
      </c>
    </row>
    <row r="122" spans="1:11">
      <c r="A122">
        <v>38574989</v>
      </c>
      <c r="B122" t="s">
        <v>364</v>
      </c>
      <c r="C122">
        <v>2024</v>
      </c>
      <c r="D122" t="s">
        <v>522</v>
      </c>
      <c r="E122">
        <v>0</v>
      </c>
      <c r="F122" t="s">
        <v>523</v>
      </c>
      <c r="G122">
        <v>0</v>
      </c>
      <c r="I122" t="s">
        <v>523</v>
      </c>
      <c r="J122" t="str">
        <f t="shared" si="3"/>
        <v>Not renal genetic testing study</v>
      </c>
      <c r="K122" t="s">
        <v>664</v>
      </c>
    </row>
    <row r="123" spans="1:11">
      <c r="A123">
        <v>31852011</v>
      </c>
      <c r="B123" t="s">
        <v>367</v>
      </c>
      <c r="C123">
        <v>2020</v>
      </c>
      <c r="D123" t="s">
        <v>522</v>
      </c>
      <c r="E123">
        <v>0</v>
      </c>
      <c r="F123" t="s">
        <v>523</v>
      </c>
      <c r="G123">
        <v>0</v>
      </c>
      <c r="I123" t="s">
        <v>523</v>
      </c>
      <c r="J123" t="str">
        <f t="shared" si="3"/>
        <v>Not renal genetic testing study</v>
      </c>
      <c r="K123" t="s">
        <v>665</v>
      </c>
    </row>
    <row r="124" spans="1:11">
      <c r="A124">
        <v>33107222</v>
      </c>
      <c r="B124" t="s">
        <v>370</v>
      </c>
      <c r="C124">
        <v>2021</v>
      </c>
      <c r="D124" t="s">
        <v>522</v>
      </c>
      <c r="E124">
        <v>0</v>
      </c>
      <c r="F124" t="s">
        <v>523</v>
      </c>
      <c r="G124">
        <v>0</v>
      </c>
      <c r="I124" t="s">
        <v>523</v>
      </c>
      <c r="J124" t="str">
        <f t="shared" si="3"/>
        <v>Not renal genetic testing study</v>
      </c>
      <c r="K124" t="s">
        <v>666</v>
      </c>
    </row>
    <row r="125" spans="1:11">
      <c r="A125">
        <v>31992108</v>
      </c>
      <c r="B125" t="s">
        <v>373</v>
      </c>
      <c r="C125">
        <v>2020</v>
      </c>
      <c r="D125" t="s">
        <v>522</v>
      </c>
      <c r="E125">
        <v>0</v>
      </c>
      <c r="F125" t="s">
        <v>523</v>
      </c>
      <c r="G125">
        <v>0</v>
      </c>
      <c r="I125" t="s">
        <v>523</v>
      </c>
      <c r="J125" t="str">
        <f t="shared" si="3"/>
        <v>Not renal genetic testing study</v>
      </c>
      <c r="K125" t="s">
        <v>667</v>
      </c>
    </row>
    <row r="126" spans="1:11">
      <c r="A126">
        <v>32661119</v>
      </c>
      <c r="B126" t="s">
        <v>376</v>
      </c>
      <c r="C126">
        <v>2020</v>
      </c>
      <c r="D126" t="s">
        <v>522</v>
      </c>
      <c r="E126">
        <v>0</v>
      </c>
      <c r="F126" t="s">
        <v>523</v>
      </c>
      <c r="G126">
        <v>0</v>
      </c>
      <c r="I126" t="s">
        <v>523</v>
      </c>
      <c r="J126" t="str">
        <f t="shared" si="3"/>
        <v>Not renal genetic testing study</v>
      </c>
      <c r="K126" t="s">
        <v>668</v>
      </c>
    </row>
    <row r="127" spans="1:11">
      <c r="A127">
        <v>38678107</v>
      </c>
      <c r="B127" t="s">
        <v>379</v>
      </c>
      <c r="C127">
        <v>2024</v>
      </c>
      <c r="D127" t="s">
        <v>522</v>
      </c>
      <c r="E127">
        <v>0</v>
      </c>
      <c r="F127" t="s">
        <v>523</v>
      </c>
      <c r="G127">
        <v>0</v>
      </c>
      <c r="I127" t="s">
        <v>523</v>
      </c>
      <c r="J127" t="str">
        <f t="shared" si="3"/>
        <v>Not renal genetic testing study</v>
      </c>
      <c r="K127" t="s">
        <v>669</v>
      </c>
    </row>
    <row r="128" spans="1:11">
      <c r="A128">
        <v>37574436</v>
      </c>
      <c r="B128" t="s">
        <v>381</v>
      </c>
      <c r="C128">
        <v>2024</v>
      </c>
      <c r="D128" t="s">
        <v>522</v>
      </c>
      <c r="E128">
        <v>0</v>
      </c>
      <c r="F128" t="s">
        <v>523</v>
      </c>
      <c r="G128">
        <v>0</v>
      </c>
      <c r="I128" t="s">
        <v>523</v>
      </c>
      <c r="J128" t="str">
        <f t="shared" si="3"/>
        <v>Not renal genetic testing study</v>
      </c>
      <c r="K128" t="s">
        <v>670</v>
      </c>
    </row>
    <row r="129" spans="1:11">
      <c r="A129">
        <v>34237133</v>
      </c>
      <c r="B129" t="s">
        <v>383</v>
      </c>
      <c r="C129">
        <v>2021</v>
      </c>
      <c r="D129" t="s">
        <v>522</v>
      </c>
      <c r="E129">
        <v>0</v>
      </c>
      <c r="F129" t="s">
        <v>523</v>
      </c>
      <c r="G129">
        <v>0</v>
      </c>
      <c r="I129" t="s">
        <v>523</v>
      </c>
      <c r="J129" t="str">
        <f t="shared" si="3"/>
        <v>Not renal genetic testing study</v>
      </c>
      <c r="K129" t="s">
        <v>671</v>
      </c>
    </row>
    <row r="130" spans="1:11">
      <c r="A130">
        <v>33087822</v>
      </c>
      <c r="B130" t="s">
        <v>386</v>
      </c>
      <c r="C130">
        <v>2020</v>
      </c>
      <c r="D130" t="s">
        <v>522</v>
      </c>
      <c r="E130">
        <v>0</v>
      </c>
      <c r="F130" t="s">
        <v>523</v>
      </c>
      <c r="G130">
        <v>0</v>
      </c>
      <c r="I130" t="s">
        <v>523</v>
      </c>
      <c r="J130" t="str">
        <f t="shared" ref="J130:J161" si="4">IF(F130=("exclude"), ("Not renal genetic testing study"))</f>
        <v>Not renal genetic testing study</v>
      </c>
      <c r="K130" t="s">
        <v>672</v>
      </c>
    </row>
    <row r="131" spans="1:11">
      <c r="A131">
        <v>33861738</v>
      </c>
      <c r="B131" t="s">
        <v>388</v>
      </c>
      <c r="C131">
        <v>2021</v>
      </c>
      <c r="D131" t="s">
        <v>522</v>
      </c>
      <c r="E131">
        <v>0</v>
      </c>
      <c r="F131" t="s">
        <v>523</v>
      </c>
      <c r="G131">
        <v>0</v>
      </c>
      <c r="I131" t="s">
        <v>523</v>
      </c>
      <c r="J131" t="str">
        <f t="shared" si="4"/>
        <v>Not renal genetic testing study</v>
      </c>
      <c r="K131" t="s">
        <v>673</v>
      </c>
    </row>
    <row r="132" spans="1:11">
      <c r="A132">
        <v>33048330</v>
      </c>
      <c r="B132" t="s">
        <v>390</v>
      </c>
      <c r="C132">
        <v>2021</v>
      </c>
      <c r="D132" t="s">
        <v>522</v>
      </c>
      <c r="E132">
        <v>0</v>
      </c>
      <c r="F132" t="s">
        <v>523</v>
      </c>
      <c r="G132">
        <v>0</v>
      </c>
      <c r="I132" t="s">
        <v>523</v>
      </c>
      <c r="J132" t="str">
        <f t="shared" si="4"/>
        <v>Not renal genetic testing study</v>
      </c>
      <c r="K132" t="s">
        <v>674</v>
      </c>
    </row>
    <row r="133" spans="1:11">
      <c r="A133">
        <v>32673684</v>
      </c>
      <c r="B133" t="s">
        <v>393</v>
      </c>
      <c r="C133">
        <v>2020</v>
      </c>
      <c r="D133" t="s">
        <v>522</v>
      </c>
      <c r="E133">
        <v>0</v>
      </c>
      <c r="F133" t="s">
        <v>523</v>
      </c>
      <c r="G133">
        <v>0</v>
      </c>
      <c r="I133" t="s">
        <v>523</v>
      </c>
      <c r="J133" t="str">
        <f t="shared" si="4"/>
        <v>Not renal genetic testing study</v>
      </c>
      <c r="K133" t="s">
        <v>675</v>
      </c>
    </row>
    <row r="134" spans="1:11">
      <c r="A134">
        <v>35977080</v>
      </c>
      <c r="B134" t="s">
        <v>396</v>
      </c>
      <c r="C134">
        <v>2022</v>
      </c>
      <c r="D134" t="s">
        <v>522</v>
      </c>
      <c r="E134">
        <v>0</v>
      </c>
      <c r="F134" t="s">
        <v>523</v>
      </c>
      <c r="G134">
        <v>0</v>
      </c>
      <c r="I134" t="s">
        <v>523</v>
      </c>
      <c r="J134" t="str">
        <f t="shared" si="4"/>
        <v>Not renal genetic testing study</v>
      </c>
      <c r="K134" t="s">
        <v>676</v>
      </c>
    </row>
    <row r="135" spans="1:11">
      <c r="A135">
        <v>38886300</v>
      </c>
      <c r="B135" t="s">
        <v>399</v>
      </c>
      <c r="C135">
        <v>2024</v>
      </c>
      <c r="D135" t="s">
        <v>522</v>
      </c>
      <c r="E135">
        <v>0</v>
      </c>
      <c r="F135" t="s">
        <v>523</v>
      </c>
      <c r="G135">
        <v>0</v>
      </c>
      <c r="I135" t="s">
        <v>523</v>
      </c>
      <c r="J135" t="str">
        <f t="shared" si="4"/>
        <v>Not renal genetic testing study</v>
      </c>
      <c r="K135" t="s">
        <v>677</v>
      </c>
    </row>
    <row r="136" spans="1:11">
      <c r="A136">
        <v>34358382</v>
      </c>
      <c r="B136" t="s">
        <v>402</v>
      </c>
      <c r="C136">
        <v>2021</v>
      </c>
      <c r="D136" t="s">
        <v>522</v>
      </c>
      <c r="E136">
        <v>0</v>
      </c>
      <c r="F136" t="s">
        <v>523</v>
      </c>
      <c r="G136">
        <v>0</v>
      </c>
      <c r="I136" t="s">
        <v>523</v>
      </c>
      <c r="J136" t="str">
        <f t="shared" si="4"/>
        <v>Not renal genetic testing study</v>
      </c>
      <c r="K136" t="s">
        <v>678</v>
      </c>
    </row>
    <row r="137" spans="1:11">
      <c r="A137">
        <v>34654685</v>
      </c>
      <c r="B137" t="s">
        <v>405</v>
      </c>
      <c r="C137">
        <v>2021</v>
      </c>
      <c r="D137" t="s">
        <v>522</v>
      </c>
      <c r="E137">
        <v>0</v>
      </c>
      <c r="F137" t="s">
        <v>523</v>
      </c>
      <c r="G137">
        <v>0</v>
      </c>
      <c r="I137" t="s">
        <v>523</v>
      </c>
      <c r="J137" t="str">
        <f t="shared" si="4"/>
        <v>Not renal genetic testing study</v>
      </c>
      <c r="K137" t="s">
        <v>679</v>
      </c>
    </row>
    <row r="138" spans="1:11">
      <c r="A138">
        <v>32176594</v>
      </c>
      <c r="B138" t="s">
        <v>408</v>
      </c>
      <c r="C138">
        <v>2020</v>
      </c>
      <c r="D138" t="s">
        <v>522</v>
      </c>
      <c r="E138">
        <v>0</v>
      </c>
      <c r="F138" t="s">
        <v>523</v>
      </c>
      <c r="G138">
        <v>0</v>
      </c>
      <c r="I138" t="s">
        <v>523</v>
      </c>
      <c r="J138" t="str">
        <f t="shared" si="4"/>
        <v>Not renal genetic testing study</v>
      </c>
      <c r="K138" t="s">
        <v>680</v>
      </c>
    </row>
    <row r="139" spans="1:11">
      <c r="A139">
        <v>39913368</v>
      </c>
      <c r="B139" t="s">
        <v>410</v>
      </c>
      <c r="C139">
        <v>2025</v>
      </c>
      <c r="D139" t="s">
        <v>522</v>
      </c>
      <c r="E139">
        <v>0</v>
      </c>
      <c r="F139" t="s">
        <v>523</v>
      </c>
      <c r="G139">
        <v>0</v>
      </c>
      <c r="I139" t="s">
        <v>523</v>
      </c>
      <c r="J139" t="str">
        <f t="shared" si="4"/>
        <v>Not renal genetic testing study</v>
      </c>
      <c r="K139" t="s">
        <v>681</v>
      </c>
    </row>
    <row r="140" spans="1:11">
      <c r="A140">
        <v>37349938</v>
      </c>
      <c r="B140" t="s">
        <v>412</v>
      </c>
      <c r="C140">
        <v>2023</v>
      </c>
      <c r="D140" t="s">
        <v>522</v>
      </c>
      <c r="E140">
        <v>0</v>
      </c>
      <c r="F140" t="s">
        <v>523</v>
      </c>
      <c r="G140">
        <v>0</v>
      </c>
      <c r="I140" t="s">
        <v>523</v>
      </c>
      <c r="J140" t="str">
        <f t="shared" si="4"/>
        <v>Not renal genetic testing study</v>
      </c>
      <c r="K140" t="s">
        <v>682</v>
      </c>
    </row>
    <row r="141" spans="1:11">
      <c r="A141">
        <v>31764220</v>
      </c>
      <c r="B141" t="s">
        <v>414</v>
      </c>
      <c r="C141">
        <v>2020</v>
      </c>
      <c r="D141" t="s">
        <v>522</v>
      </c>
      <c r="E141">
        <v>0</v>
      </c>
      <c r="F141" t="s">
        <v>523</v>
      </c>
      <c r="G141">
        <v>0</v>
      </c>
      <c r="I141" t="s">
        <v>523</v>
      </c>
      <c r="J141" t="str">
        <f t="shared" si="4"/>
        <v>Not renal genetic testing study</v>
      </c>
      <c r="K141" t="s">
        <v>683</v>
      </c>
    </row>
    <row r="142" spans="1:11">
      <c r="A142">
        <v>36253912</v>
      </c>
      <c r="B142" t="s">
        <v>416</v>
      </c>
      <c r="C142">
        <v>2023</v>
      </c>
      <c r="D142" t="s">
        <v>522</v>
      </c>
      <c r="E142">
        <v>0</v>
      </c>
      <c r="F142" t="s">
        <v>523</v>
      </c>
      <c r="G142">
        <v>0</v>
      </c>
      <c r="I142" t="s">
        <v>523</v>
      </c>
      <c r="J142" t="str">
        <f t="shared" si="4"/>
        <v>Not renal genetic testing study</v>
      </c>
      <c r="K142" t="s">
        <v>684</v>
      </c>
    </row>
    <row r="143" spans="1:11">
      <c r="A143">
        <v>35763031</v>
      </c>
      <c r="B143" t="s">
        <v>418</v>
      </c>
      <c r="C143">
        <v>2022</v>
      </c>
      <c r="D143" t="s">
        <v>522</v>
      </c>
      <c r="E143">
        <v>0</v>
      </c>
      <c r="F143" t="s">
        <v>523</v>
      </c>
      <c r="G143">
        <v>0</v>
      </c>
      <c r="I143" t="s">
        <v>523</v>
      </c>
      <c r="J143" t="str">
        <f t="shared" si="4"/>
        <v>Not renal genetic testing study</v>
      </c>
      <c r="K143" t="s">
        <v>685</v>
      </c>
    </row>
    <row r="144" spans="1:11">
      <c r="A144">
        <v>35655039</v>
      </c>
      <c r="B144" t="s">
        <v>421</v>
      </c>
      <c r="C144">
        <v>2023</v>
      </c>
      <c r="D144" t="s">
        <v>522</v>
      </c>
      <c r="E144">
        <v>0</v>
      </c>
      <c r="F144" t="s">
        <v>523</v>
      </c>
      <c r="G144">
        <v>0</v>
      </c>
      <c r="I144" t="s">
        <v>523</v>
      </c>
      <c r="J144" t="str">
        <f t="shared" si="4"/>
        <v>Not renal genetic testing study</v>
      </c>
      <c r="K144" t="s">
        <v>686</v>
      </c>
    </row>
    <row r="145" spans="1:11">
      <c r="A145">
        <v>35264217</v>
      </c>
      <c r="B145" t="s">
        <v>423</v>
      </c>
      <c r="C145">
        <v>2022</v>
      </c>
      <c r="D145" t="s">
        <v>522</v>
      </c>
      <c r="E145">
        <v>0</v>
      </c>
      <c r="F145" t="s">
        <v>523</v>
      </c>
      <c r="G145">
        <v>0</v>
      </c>
      <c r="I145" t="s">
        <v>523</v>
      </c>
      <c r="J145" t="str">
        <f t="shared" si="4"/>
        <v>Not renal genetic testing study</v>
      </c>
      <c r="K145" t="s">
        <v>687</v>
      </c>
    </row>
    <row r="146" spans="1:11">
      <c r="A146">
        <v>33111320</v>
      </c>
      <c r="B146" t="s">
        <v>426</v>
      </c>
      <c r="C146">
        <v>2021</v>
      </c>
      <c r="D146" t="s">
        <v>522</v>
      </c>
      <c r="E146">
        <v>0</v>
      </c>
      <c r="F146" t="s">
        <v>523</v>
      </c>
      <c r="G146">
        <v>0</v>
      </c>
      <c r="I146" t="s">
        <v>523</v>
      </c>
      <c r="J146" t="str">
        <f t="shared" si="4"/>
        <v>Not renal genetic testing study</v>
      </c>
      <c r="K146" t="s">
        <v>688</v>
      </c>
    </row>
    <row r="147" spans="1:11">
      <c r="A147">
        <v>32968206</v>
      </c>
      <c r="B147" t="s">
        <v>428</v>
      </c>
      <c r="C147">
        <v>2020</v>
      </c>
      <c r="D147" t="s">
        <v>522</v>
      </c>
      <c r="E147">
        <v>0</v>
      </c>
      <c r="F147" t="s">
        <v>523</v>
      </c>
      <c r="G147">
        <v>0</v>
      </c>
      <c r="I147" t="s">
        <v>523</v>
      </c>
      <c r="J147" t="str">
        <f t="shared" si="4"/>
        <v>Not renal genetic testing study</v>
      </c>
      <c r="K147" t="s">
        <v>689</v>
      </c>
    </row>
    <row r="148" spans="1:11">
      <c r="A148">
        <v>31513279</v>
      </c>
      <c r="B148" t="s">
        <v>430</v>
      </c>
      <c r="C148">
        <v>2020</v>
      </c>
      <c r="D148" t="s">
        <v>522</v>
      </c>
      <c r="E148">
        <v>0</v>
      </c>
      <c r="F148" t="s">
        <v>523</v>
      </c>
      <c r="G148">
        <v>0</v>
      </c>
      <c r="I148" t="s">
        <v>523</v>
      </c>
      <c r="J148" t="str">
        <f t="shared" si="4"/>
        <v>Not renal genetic testing study</v>
      </c>
      <c r="K148" t="s">
        <v>690</v>
      </c>
    </row>
    <row r="149" spans="1:11">
      <c r="A149">
        <v>37358729</v>
      </c>
      <c r="B149" t="s">
        <v>433</v>
      </c>
      <c r="C149">
        <v>2023</v>
      </c>
      <c r="D149" t="s">
        <v>522</v>
      </c>
      <c r="E149">
        <v>0</v>
      </c>
      <c r="F149" t="s">
        <v>523</v>
      </c>
      <c r="G149">
        <v>0</v>
      </c>
      <c r="I149" t="s">
        <v>523</v>
      </c>
      <c r="J149" t="str">
        <f t="shared" si="4"/>
        <v>Not renal genetic testing study</v>
      </c>
      <c r="K149" t="s">
        <v>691</v>
      </c>
    </row>
    <row r="150" spans="1:11">
      <c r="A150">
        <v>35017463</v>
      </c>
      <c r="B150" t="s">
        <v>435</v>
      </c>
      <c r="C150">
        <v>2022</v>
      </c>
      <c r="D150" t="s">
        <v>522</v>
      </c>
      <c r="E150">
        <v>0</v>
      </c>
      <c r="F150" t="s">
        <v>523</v>
      </c>
      <c r="G150">
        <v>0</v>
      </c>
      <c r="I150" t="s">
        <v>523</v>
      </c>
      <c r="J150" t="str">
        <f t="shared" si="4"/>
        <v>Not renal genetic testing study</v>
      </c>
      <c r="K150" t="s">
        <v>692</v>
      </c>
    </row>
    <row r="151" spans="1:11">
      <c r="A151">
        <v>38032814</v>
      </c>
      <c r="B151" t="s">
        <v>438</v>
      </c>
      <c r="C151">
        <v>2023</v>
      </c>
      <c r="D151" t="s">
        <v>522</v>
      </c>
      <c r="E151">
        <v>0</v>
      </c>
      <c r="F151" t="s">
        <v>523</v>
      </c>
      <c r="G151">
        <v>0</v>
      </c>
      <c r="I151" t="s">
        <v>523</v>
      </c>
      <c r="J151" t="str">
        <f t="shared" si="4"/>
        <v>Not renal genetic testing study</v>
      </c>
      <c r="K151" t="s">
        <v>693</v>
      </c>
    </row>
    <row r="152" spans="1:11">
      <c r="A152">
        <v>32060504</v>
      </c>
      <c r="B152" t="s">
        <v>440</v>
      </c>
      <c r="C152">
        <v>2020</v>
      </c>
      <c r="D152" t="s">
        <v>522</v>
      </c>
      <c r="E152">
        <v>0</v>
      </c>
      <c r="F152" t="s">
        <v>523</v>
      </c>
      <c r="G152">
        <v>0</v>
      </c>
      <c r="I152" t="s">
        <v>523</v>
      </c>
      <c r="J152" t="str">
        <f t="shared" si="4"/>
        <v>Not renal genetic testing study</v>
      </c>
      <c r="K152" t="s">
        <v>694</v>
      </c>
    </row>
    <row r="153" spans="1:11">
      <c r="A153">
        <v>34980496</v>
      </c>
      <c r="B153" t="s">
        <v>443</v>
      </c>
      <c r="C153">
        <v>2022</v>
      </c>
      <c r="D153" t="s">
        <v>522</v>
      </c>
      <c r="E153">
        <v>0</v>
      </c>
      <c r="F153" t="s">
        <v>523</v>
      </c>
      <c r="G153">
        <v>0</v>
      </c>
      <c r="I153" t="s">
        <v>523</v>
      </c>
      <c r="J153" t="str">
        <f t="shared" si="4"/>
        <v>Not renal genetic testing study</v>
      </c>
      <c r="K153" t="s">
        <v>695</v>
      </c>
    </row>
    <row r="154" spans="1:11">
      <c r="A154">
        <v>38327067</v>
      </c>
      <c r="B154" t="s">
        <v>446</v>
      </c>
      <c r="C154">
        <v>2024</v>
      </c>
      <c r="D154" t="s">
        <v>522</v>
      </c>
      <c r="E154">
        <v>0</v>
      </c>
      <c r="F154" t="s">
        <v>523</v>
      </c>
      <c r="G154">
        <v>0</v>
      </c>
      <c r="I154" t="s">
        <v>523</v>
      </c>
      <c r="J154" t="str">
        <f t="shared" si="4"/>
        <v>Not renal genetic testing study</v>
      </c>
      <c r="K154" t="s">
        <v>696</v>
      </c>
    </row>
    <row r="155" spans="1:11">
      <c r="A155">
        <v>36292688</v>
      </c>
      <c r="B155" t="s">
        <v>449</v>
      </c>
      <c r="C155">
        <v>2022</v>
      </c>
      <c r="D155" t="s">
        <v>522</v>
      </c>
      <c r="E155">
        <v>0</v>
      </c>
      <c r="F155" t="s">
        <v>523</v>
      </c>
      <c r="G155">
        <v>0</v>
      </c>
      <c r="I155" t="s">
        <v>523</v>
      </c>
      <c r="J155" t="str">
        <f t="shared" si="4"/>
        <v>Not renal genetic testing study</v>
      </c>
      <c r="K155" t="s">
        <v>697</v>
      </c>
    </row>
    <row r="156" spans="1:11">
      <c r="A156">
        <v>32659871</v>
      </c>
      <c r="B156" t="s">
        <v>451</v>
      </c>
      <c r="C156">
        <v>2021</v>
      </c>
      <c r="D156" t="s">
        <v>522</v>
      </c>
      <c r="E156">
        <v>0</v>
      </c>
      <c r="F156" t="s">
        <v>523</v>
      </c>
      <c r="G156">
        <v>0</v>
      </c>
      <c r="I156" t="s">
        <v>523</v>
      </c>
      <c r="J156" t="str">
        <f t="shared" si="4"/>
        <v>Not renal genetic testing study</v>
      </c>
      <c r="K156" t="s">
        <v>698</v>
      </c>
    </row>
    <row r="157" spans="1:11">
      <c r="A157">
        <v>32358593</v>
      </c>
      <c r="B157" t="s">
        <v>453</v>
      </c>
      <c r="C157">
        <v>2020</v>
      </c>
      <c r="D157" t="s">
        <v>522</v>
      </c>
      <c r="E157">
        <v>0</v>
      </c>
      <c r="F157" t="s">
        <v>523</v>
      </c>
      <c r="G157">
        <v>0</v>
      </c>
      <c r="I157" t="s">
        <v>523</v>
      </c>
      <c r="J157" t="str">
        <f t="shared" si="4"/>
        <v>Not renal genetic testing study</v>
      </c>
      <c r="K157" t="s">
        <v>699</v>
      </c>
    </row>
    <row r="158" spans="1:11">
      <c r="A158">
        <v>38752978</v>
      </c>
      <c r="B158" t="s">
        <v>455</v>
      </c>
      <c r="C158">
        <v>2024</v>
      </c>
      <c r="D158" t="s">
        <v>522</v>
      </c>
      <c r="E158">
        <v>0</v>
      </c>
      <c r="F158" t="s">
        <v>523</v>
      </c>
      <c r="G158">
        <v>0</v>
      </c>
      <c r="I158" t="s">
        <v>523</v>
      </c>
      <c r="J158" t="str">
        <f t="shared" si="4"/>
        <v>Not renal genetic testing study</v>
      </c>
      <c r="K158" t="s">
        <v>700</v>
      </c>
    </row>
    <row r="159" spans="1:11">
      <c r="A159">
        <v>33275263</v>
      </c>
      <c r="B159" t="s">
        <v>458</v>
      </c>
      <c r="C159">
        <v>2020</v>
      </c>
      <c r="D159" t="s">
        <v>522</v>
      </c>
      <c r="E159">
        <v>0</v>
      </c>
      <c r="F159" t="s">
        <v>523</v>
      </c>
      <c r="G159">
        <v>0</v>
      </c>
      <c r="I159" t="s">
        <v>523</v>
      </c>
      <c r="J159" t="str">
        <f t="shared" si="4"/>
        <v>Not renal genetic testing study</v>
      </c>
      <c r="K159" t="s">
        <v>701</v>
      </c>
    </row>
    <row r="160" spans="1:11">
      <c r="A160">
        <v>32211780</v>
      </c>
      <c r="B160" t="s">
        <v>461</v>
      </c>
      <c r="C160">
        <v>2020</v>
      </c>
      <c r="D160" t="s">
        <v>522</v>
      </c>
      <c r="E160">
        <v>0</v>
      </c>
      <c r="F160" t="s">
        <v>523</v>
      </c>
      <c r="G160">
        <v>0</v>
      </c>
      <c r="I160" t="s">
        <v>523</v>
      </c>
      <c r="J160" t="str">
        <f t="shared" si="4"/>
        <v>Not renal genetic testing study</v>
      </c>
      <c r="K160" t="s">
        <v>702</v>
      </c>
    </row>
    <row r="161" spans="1:12">
      <c r="A161">
        <v>34558169</v>
      </c>
      <c r="B161" t="s">
        <v>463</v>
      </c>
      <c r="C161">
        <v>2022</v>
      </c>
      <c r="D161" t="s">
        <v>522</v>
      </c>
      <c r="E161">
        <v>0</v>
      </c>
      <c r="F161" t="s">
        <v>523</v>
      </c>
      <c r="G161">
        <v>0</v>
      </c>
      <c r="I161" t="s">
        <v>523</v>
      </c>
      <c r="J161" t="str">
        <f t="shared" si="4"/>
        <v>Not renal genetic testing study</v>
      </c>
      <c r="K161" t="s">
        <v>703</v>
      </c>
    </row>
    <row r="162" spans="1:12">
      <c r="A162">
        <v>36573973</v>
      </c>
      <c r="B162" t="s">
        <v>14</v>
      </c>
      <c r="C162">
        <v>2022</v>
      </c>
      <c r="D162" t="s">
        <v>522</v>
      </c>
      <c r="E162">
        <v>0</v>
      </c>
      <c r="F162" t="s">
        <v>523</v>
      </c>
      <c r="G162">
        <v>0</v>
      </c>
      <c r="H162">
        <v>0</v>
      </c>
      <c r="I162" t="s">
        <v>523</v>
      </c>
      <c r="J162" t="s">
        <v>704</v>
      </c>
      <c r="K162" t="s">
        <v>528</v>
      </c>
    </row>
    <row r="163" spans="1:12">
      <c r="A163">
        <v>33437033</v>
      </c>
      <c r="B163" t="s">
        <v>19</v>
      </c>
      <c r="C163">
        <v>2021</v>
      </c>
      <c r="D163" t="s">
        <v>522</v>
      </c>
      <c r="E163">
        <v>0</v>
      </c>
      <c r="F163" t="s">
        <v>523</v>
      </c>
      <c r="G163">
        <v>0</v>
      </c>
      <c r="H163">
        <v>0</v>
      </c>
      <c r="I163" t="s">
        <v>523</v>
      </c>
      <c r="J163" t="s">
        <v>704</v>
      </c>
      <c r="K163" t="s">
        <v>530</v>
      </c>
    </row>
    <row r="164" spans="1:12">
      <c r="A164">
        <v>32450155</v>
      </c>
      <c r="B164" t="s">
        <v>30</v>
      </c>
      <c r="C164">
        <v>2020</v>
      </c>
      <c r="D164" t="s">
        <v>522</v>
      </c>
      <c r="E164">
        <v>0</v>
      </c>
      <c r="F164" t="s">
        <v>523</v>
      </c>
      <c r="G164">
        <v>0</v>
      </c>
      <c r="H164">
        <v>0</v>
      </c>
      <c r="I164" t="s">
        <v>523</v>
      </c>
      <c r="J164" t="s">
        <v>704</v>
      </c>
      <c r="K164" t="s">
        <v>534</v>
      </c>
    </row>
    <row r="165" spans="1:12">
      <c r="A165">
        <v>35368817</v>
      </c>
      <c r="B165" t="s">
        <v>33</v>
      </c>
      <c r="C165">
        <v>2020</v>
      </c>
      <c r="D165" t="s">
        <v>522</v>
      </c>
      <c r="E165">
        <v>0</v>
      </c>
      <c r="F165" t="s">
        <v>523</v>
      </c>
      <c r="G165">
        <v>0</v>
      </c>
      <c r="H165">
        <v>0</v>
      </c>
      <c r="I165" t="s">
        <v>523</v>
      </c>
      <c r="J165" t="s">
        <v>704</v>
      </c>
      <c r="K165" t="s">
        <v>535</v>
      </c>
    </row>
    <row r="166" spans="1:12">
      <c r="A166">
        <v>34237823</v>
      </c>
      <c r="B166" t="s">
        <v>61</v>
      </c>
      <c r="C166">
        <v>2021</v>
      </c>
      <c r="D166" t="s">
        <v>522</v>
      </c>
      <c r="E166">
        <v>0</v>
      </c>
      <c r="F166" t="s">
        <v>523</v>
      </c>
      <c r="G166">
        <v>0</v>
      </c>
      <c r="H166">
        <v>0</v>
      </c>
      <c r="I166" t="s">
        <v>523</v>
      </c>
      <c r="J166" t="s">
        <v>704</v>
      </c>
      <c r="K166" t="s">
        <v>546</v>
      </c>
    </row>
    <row r="167" spans="1:12">
      <c r="A167">
        <v>32312792</v>
      </c>
      <c r="B167" t="s">
        <v>86</v>
      </c>
      <c r="C167">
        <v>2020</v>
      </c>
      <c r="D167" t="s">
        <v>522</v>
      </c>
      <c r="E167">
        <v>0</v>
      </c>
      <c r="F167" t="s">
        <v>523</v>
      </c>
      <c r="G167">
        <v>1</v>
      </c>
      <c r="H167">
        <v>1</v>
      </c>
      <c r="I167" t="s">
        <v>523</v>
      </c>
      <c r="J167" t="s">
        <v>705</v>
      </c>
      <c r="K167" t="s">
        <v>555</v>
      </c>
    </row>
    <row r="168" spans="1:12">
      <c r="A168">
        <v>32739203</v>
      </c>
      <c r="B168" t="s">
        <v>52</v>
      </c>
      <c r="C168">
        <v>2020</v>
      </c>
      <c r="D168" t="s">
        <v>522</v>
      </c>
      <c r="E168">
        <v>0</v>
      </c>
      <c r="F168" t="s">
        <v>527</v>
      </c>
      <c r="G168">
        <v>1</v>
      </c>
      <c r="H168">
        <v>1</v>
      </c>
      <c r="I168" t="s">
        <v>523</v>
      </c>
      <c r="J168" t="s">
        <v>706</v>
      </c>
      <c r="K168" t="s">
        <v>542</v>
      </c>
      <c r="L168" t="s">
        <v>492</v>
      </c>
    </row>
    <row r="169" spans="1:12">
      <c r="A169">
        <v>36753701</v>
      </c>
      <c r="B169" t="s">
        <v>54</v>
      </c>
      <c r="C169">
        <v>2023</v>
      </c>
      <c r="D169" t="s">
        <v>522</v>
      </c>
      <c r="E169">
        <v>0</v>
      </c>
      <c r="F169" t="s">
        <v>527</v>
      </c>
      <c r="G169">
        <v>1</v>
      </c>
      <c r="H169">
        <v>1</v>
      </c>
      <c r="I169" t="s">
        <v>523</v>
      </c>
      <c r="J169" t="s">
        <v>705</v>
      </c>
      <c r="K169" t="s">
        <v>543</v>
      </c>
      <c r="L169" t="s">
        <v>493</v>
      </c>
    </row>
    <row r="170" spans="1:12">
      <c r="A170">
        <v>32646915</v>
      </c>
      <c r="B170" t="s">
        <v>66</v>
      </c>
      <c r="C170">
        <v>2020</v>
      </c>
      <c r="D170" t="s">
        <v>522</v>
      </c>
      <c r="E170">
        <v>0</v>
      </c>
      <c r="F170" t="s">
        <v>527</v>
      </c>
      <c r="G170">
        <v>1</v>
      </c>
      <c r="H170">
        <v>1</v>
      </c>
      <c r="I170" t="s">
        <v>523</v>
      </c>
      <c r="J170" t="s">
        <v>706</v>
      </c>
      <c r="K170" t="s">
        <v>548</v>
      </c>
      <c r="L170" t="s">
        <v>494</v>
      </c>
    </row>
    <row r="171" spans="1:12">
      <c r="A171">
        <v>37270787</v>
      </c>
      <c r="B171" t="s">
        <v>80</v>
      </c>
      <c r="C171">
        <v>2023</v>
      </c>
      <c r="D171" t="s">
        <v>522</v>
      </c>
      <c r="E171">
        <v>0</v>
      </c>
      <c r="F171" t="s">
        <v>527</v>
      </c>
      <c r="G171">
        <v>1</v>
      </c>
      <c r="H171">
        <v>1</v>
      </c>
      <c r="I171" t="s">
        <v>523</v>
      </c>
      <c r="J171" t="s">
        <v>705</v>
      </c>
      <c r="K171" t="s">
        <v>553</v>
      </c>
      <c r="L171" t="s">
        <v>493</v>
      </c>
    </row>
    <row r="172" spans="1:12">
      <c r="A172">
        <v>37489581</v>
      </c>
      <c r="B172" t="s">
        <v>105</v>
      </c>
      <c r="C172">
        <v>2023</v>
      </c>
      <c r="D172" t="s">
        <v>522</v>
      </c>
      <c r="E172">
        <v>0</v>
      </c>
      <c r="F172" t="s">
        <v>527</v>
      </c>
      <c r="G172">
        <v>0</v>
      </c>
      <c r="H172">
        <v>0</v>
      </c>
      <c r="I172" t="s">
        <v>523</v>
      </c>
      <c r="J172" t="s">
        <v>704</v>
      </c>
      <c r="K172" t="s">
        <v>562</v>
      </c>
      <c r="L172" t="s">
        <v>495</v>
      </c>
    </row>
    <row r="173" spans="1:12">
      <c r="A173">
        <v>35393322</v>
      </c>
      <c r="B173" t="s">
        <v>179</v>
      </c>
      <c r="C173">
        <v>2022</v>
      </c>
      <c r="D173" t="s">
        <v>522</v>
      </c>
      <c r="E173">
        <v>0</v>
      </c>
      <c r="F173" t="s">
        <v>527</v>
      </c>
      <c r="G173">
        <v>1</v>
      </c>
      <c r="H173">
        <v>1</v>
      </c>
      <c r="I173" t="s">
        <v>523</v>
      </c>
      <c r="J173" t="s">
        <v>706</v>
      </c>
      <c r="K173" t="s">
        <v>592</v>
      </c>
      <c r="L173" t="s">
        <v>499</v>
      </c>
    </row>
    <row r="174" spans="1:12">
      <c r="A174">
        <v>33095447</v>
      </c>
      <c r="B174" t="s">
        <v>223</v>
      </c>
      <c r="C174">
        <v>2021</v>
      </c>
      <c r="D174" t="s">
        <v>522</v>
      </c>
      <c r="E174">
        <v>0</v>
      </c>
      <c r="F174" t="s">
        <v>527</v>
      </c>
      <c r="G174">
        <v>1</v>
      </c>
      <c r="H174">
        <v>1</v>
      </c>
      <c r="I174" t="s">
        <v>523</v>
      </c>
      <c r="J174" t="s">
        <v>707</v>
      </c>
      <c r="K174" t="s">
        <v>608</v>
      </c>
      <c r="L174" t="s">
        <v>500</v>
      </c>
    </row>
    <row r="175" spans="1:12">
      <c r="A175">
        <v>33226606</v>
      </c>
      <c r="B175" t="s">
        <v>22</v>
      </c>
      <c r="C175">
        <v>2021</v>
      </c>
      <c r="D175" t="s">
        <v>522</v>
      </c>
      <c r="E175">
        <v>0</v>
      </c>
      <c r="F175" t="s">
        <v>527</v>
      </c>
      <c r="G175">
        <v>1</v>
      </c>
      <c r="H175">
        <v>1</v>
      </c>
      <c r="I175" t="s">
        <v>527</v>
      </c>
      <c r="K175" t="s">
        <v>531</v>
      </c>
    </row>
    <row r="176" spans="1:12">
      <c r="A176">
        <v>37794564</v>
      </c>
      <c r="B176" t="s">
        <v>25</v>
      </c>
      <c r="C176">
        <v>2023</v>
      </c>
      <c r="D176" t="s">
        <v>522</v>
      </c>
      <c r="E176">
        <v>0</v>
      </c>
      <c r="F176" t="s">
        <v>527</v>
      </c>
      <c r="G176">
        <v>1</v>
      </c>
      <c r="H176">
        <v>1</v>
      </c>
      <c r="I176" t="s">
        <v>527</v>
      </c>
      <c r="K176" t="s">
        <v>532</v>
      </c>
      <c r="L176" t="s">
        <v>486</v>
      </c>
    </row>
    <row r="177" spans="1:12">
      <c r="A177">
        <v>32939031</v>
      </c>
      <c r="B177" t="s">
        <v>27</v>
      </c>
      <c r="C177">
        <v>2021</v>
      </c>
      <c r="D177" t="s">
        <v>522</v>
      </c>
      <c r="E177">
        <v>0</v>
      </c>
      <c r="F177" t="s">
        <v>527</v>
      </c>
      <c r="G177">
        <v>1</v>
      </c>
      <c r="H177">
        <v>1</v>
      </c>
      <c r="I177" t="s">
        <v>527</v>
      </c>
      <c r="K177" t="s">
        <v>533</v>
      </c>
      <c r="L177" t="s">
        <v>482</v>
      </c>
    </row>
    <row r="178" spans="1:12">
      <c r="A178">
        <v>38972501</v>
      </c>
      <c r="B178" t="s">
        <v>36</v>
      </c>
      <c r="C178">
        <v>2024</v>
      </c>
      <c r="D178" t="s">
        <v>522</v>
      </c>
      <c r="E178">
        <v>0</v>
      </c>
      <c r="F178" t="s">
        <v>527</v>
      </c>
      <c r="G178">
        <v>1</v>
      </c>
      <c r="H178">
        <v>1</v>
      </c>
      <c r="I178" t="s">
        <v>527</v>
      </c>
      <c r="K178" t="s">
        <v>536</v>
      </c>
    </row>
    <row r="179" spans="1:12">
      <c r="A179">
        <v>35099770</v>
      </c>
      <c r="B179" t="s">
        <v>177</v>
      </c>
      <c r="C179">
        <v>2022</v>
      </c>
      <c r="D179" t="s">
        <v>522</v>
      </c>
      <c r="E179">
        <v>0</v>
      </c>
      <c r="F179" t="s">
        <v>527</v>
      </c>
      <c r="G179">
        <v>1</v>
      </c>
      <c r="H179">
        <v>1</v>
      </c>
      <c r="I179" t="s">
        <v>527</v>
      </c>
      <c r="K179" t="s">
        <v>591</v>
      </c>
      <c r="L179" t="s">
        <v>497</v>
      </c>
    </row>
    <row r="180" spans="1:12">
      <c r="A180">
        <v>40533884</v>
      </c>
      <c r="B180" t="s">
        <v>317</v>
      </c>
      <c r="C180">
        <v>2026</v>
      </c>
      <c r="D180" t="s">
        <v>522</v>
      </c>
      <c r="E180">
        <v>0</v>
      </c>
      <c r="F180" t="s">
        <v>527</v>
      </c>
      <c r="G180">
        <v>1</v>
      </c>
      <c r="H180">
        <v>1</v>
      </c>
      <c r="I180" t="s">
        <v>527</v>
      </c>
      <c r="K180" t="s">
        <v>646</v>
      </c>
      <c r="L180" t="s">
        <v>503</v>
      </c>
    </row>
  </sheetData>
  <autoFilter ref="A1:L1" xr:uid="{23894E8A-015E-5545-964F-589B1BE15133}">
    <sortState xmlns:xlrd2="http://schemas.microsoft.com/office/spreadsheetml/2017/richdata2" ref="A2:L180">
      <sortCondition ref="F1:F18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E930B-1299-6144-BA90-D153D9BBD12D}">
  <dimension ref="A1:E15"/>
  <sheetViews>
    <sheetView workbookViewId="0">
      <selection activeCell="C8" sqref="C8"/>
    </sheetView>
  </sheetViews>
  <sheetFormatPr baseColWidth="10" defaultRowHeight="16"/>
  <cols>
    <col min="1" max="1" width="47.6640625" customWidth="1"/>
    <col min="2" max="2" width="13.6640625" customWidth="1"/>
    <col min="3" max="3" width="40.83203125" customWidth="1"/>
  </cols>
  <sheetData>
    <row r="1" spans="1:5">
      <c r="A1" t="s">
        <v>708</v>
      </c>
      <c r="B1" t="s">
        <v>709</v>
      </c>
      <c r="C1" t="s">
        <v>710</v>
      </c>
      <c r="D1" t="s">
        <v>711</v>
      </c>
      <c r="E1" t="s">
        <v>712</v>
      </c>
    </row>
    <row r="2" spans="1:5">
      <c r="A2" t="s">
        <v>713</v>
      </c>
      <c r="B2">
        <v>179</v>
      </c>
      <c r="C2" t="s">
        <v>714</v>
      </c>
    </row>
    <row r="3" spans="1:5">
      <c r="A3" t="s">
        <v>715</v>
      </c>
      <c r="B3">
        <v>0</v>
      </c>
      <c r="C3" t="s">
        <v>716</v>
      </c>
    </row>
    <row r="4" spans="1:5">
      <c r="A4" t="s">
        <v>717</v>
      </c>
      <c r="B4">
        <v>0</v>
      </c>
      <c r="C4" t="s">
        <v>718</v>
      </c>
    </row>
    <row r="5" spans="1:5">
      <c r="A5" t="s">
        <v>719</v>
      </c>
      <c r="B5">
        <v>0</v>
      </c>
      <c r="C5" t="s">
        <v>720</v>
      </c>
    </row>
    <row r="6" spans="1:5">
      <c r="A6" t="s">
        <v>721</v>
      </c>
      <c r="B6">
        <v>0</v>
      </c>
      <c r="C6" t="s">
        <v>722</v>
      </c>
    </row>
    <row r="7" spans="1:5">
      <c r="A7" t="s">
        <v>723</v>
      </c>
      <c r="B7">
        <v>179</v>
      </c>
      <c r="C7" t="s">
        <v>724</v>
      </c>
    </row>
    <row r="8" spans="1:5">
      <c r="A8" t="s">
        <v>725</v>
      </c>
      <c r="B8">
        <f>COUNTIF(PRISMA_log!F2:F180,"exclude")</f>
        <v>166</v>
      </c>
      <c r="C8" t="s">
        <v>740</v>
      </c>
    </row>
    <row r="9" spans="1:5">
      <c r="A9" t="s">
        <v>726</v>
      </c>
      <c r="B9">
        <f>B7-B8</f>
        <v>13</v>
      </c>
      <c r="C9" t="s">
        <v>727</v>
      </c>
    </row>
    <row r="10" spans="1:5">
      <c r="A10" t="s">
        <v>728</v>
      </c>
      <c r="B10">
        <v>0</v>
      </c>
      <c r="C10" t="s">
        <v>729</v>
      </c>
    </row>
    <row r="11" spans="1:5">
      <c r="A11" t="s">
        <v>730</v>
      </c>
      <c r="B11">
        <f>B9</f>
        <v>13</v>
      </c>
      <c r="C11" t="s">
        <v>731</v>
      </c>
    </row>
    <row r="12" spans="1:5">
      <c r="A12" t="s">
        <v>732</v>
      </c>
      <c r="B12">
        <f>COUNTIF(PRISMA_log!I167:I180, "exclude")</f>
        <v>8</v>
      </c>
      <c r="C12" t="s">
        <v>733</v>
      </c>
    </row>
    <row r="13" spans="1:5">
      <c r="A13" t="s">
        <v>734</v>
      </c>
      <c r="B13">
        <f>COUNTIF(PRISMA_log!I2:I180, "include")</f>
        <v>6</v>
      </c>
      <c r="C13" t="s">
        <v>735</v>
      </c>
    </row>
    <row r="14" spans="1:5">
      <c r="A14" t="s">
        <v>736</v>
      </c>
      <c r="C14" t="s">
        <v>737</v>
      </c>
    </row>
    <row r="15" spans="1:5">
      <c r="A15" t="s">
        <v>738</v>
      </c>
      <c r="C15" t="s">
        <v>739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8733E-5FDC-0E4C-BD4F-5C62F44A6D93}">
  <dimension ref="A1:B4"/>
  <sheetViews>
    <sheetView zoomScale="173" workbookViewId="0">
      <selection activeCell="A2" sqref="A2"/>
    </sheetView>
  </sheetViews>
  <sheetFormatPr baseColWidth="10" defaultRowHeight="16"/>
  <cols>
    <col min="1" max="1" width="56.33203125" customWidth="1"/>
  </cols>
  <sheetData>
    <row r="1" spans="1:2">
      <c r="A1" s="3" t="s">
        <v>506</v>
      </c>
      <c r="B1" t="s">
        <v>484</v>
      </c>
    </row>
    <row r="2" spans="1:2">
      <c r="A2" t="s">
        <v>507</v>
      </c>
      <c r="B2" t="s">
        <v>485</v>
      </c>
    </row>
    <row r="3" spans="1:2">
      <c r="A3" t="s">
        <v>508</v>
      </c>
    </row>
    <row r="4" spans="1:2">
      <c r="A4" t="s">
        <v>509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F9BD4C136BCB48BFFAEB204B48DBA3" ma:contentTypeVersion="14" ma:contentTypeDescription="Create a new document." ma:contentTypeScope="" ma:versionID="81104982f69df3422b2ca7147b1d7166">
  <xsd:schema xmlns:xsd="http://www.w3.org/2001/XMLSchema" xmlns:xs="http://www.w3.org/2001/XMLSchema" xmlns:p="http://schemas.microsoft.com/office/2006/metadata/properties" xmlns:ns2="cca24d7f-b98d-43a3-b659-e3037fc904a8" xmlns:ns3="f38dbe94-7885-4da3-8834-2d39cad2d886" targetNamespace="http://schemas.microsoft.com/office/2006/metadata/properties" ma:root="true" ma:fieldsID="8d038e88f27c07df9ba953a0dee2d397" ns2:_="" ns3:_="">
    <xsd:import namespace="cca24d7f-b98d-43a3-b659-e3037fc904a8"/>
    <xsd:import namespace="f38dbe94-7885-4da3-8834-2d39cad2d88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24d7f-b98d-43a3-b659-e3037fc904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baaf764-73f0-4b4c-b8e1-b7d465e0804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8dbe94-7885-4da3-8834-2d39cad2d88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ec5fecde-ef99-4a74-9176-78086f967960}" ma:internalName="TaxCatchAll" ma:showField="CatchAllData" ma:web="f38dbe94-7885-4da3-8834-2d39cad2d8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38dbe94-7885-4da3-8834-2d39cad2d886" xsi:nil="true"/>
    <lcf76f155ced4ddcb4097134ff3c332f xmlns="cca24d7f-b98d-43a3-b659-e3037fc904a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09A24E-24A0-461F-BA50-0F15CA18E5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24d7f-b98d-43a3-b659-e3037fc904a8"/>
    <ds:schemaRef ds:uri="f38dbe94-7885-4da3-8834-2d39cad2d8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925C41-A671-4894-A7EC-74D2C9B91DB2}">
  <ds:schemaRefs>
    <ds:schemaRef ds:uri="http://purl.org/dc/dcmitype/"/>
    <ds:schemaRef ds:uri="http://schemas.microsoft.com/office/2006/documentManagement/types"/>
    <ds:schemaRef ds:uri="f38dbe94-7885-4da3-8834-2d39cad2d886"/>
    <ds:schemaRef ds:uri="http://www.w3.org/XML/1998/namespace"/>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cca24d7f-b98d-43a3-b659-e3037fc904a8"/>
    <ds:schemaRef ds:uri="http://purl.org/dc/terms/"/>
  </ds:schemaRefs>
</ds:datastoreItem>
</file>

<file path=customXml/itemProps3.xml><?xml version="1.0" encoding="utf-8"?>
<ds:datastoreItem xmlns:ds="http://schemas.openxmlformats.org/officeDocument/2006/customXml" ds:itemID="{5B4BE05D-44F4-41EF-986B-2153430D37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pubmed_query_results</vt:lpstr>
      <vt:lpstr>Review</vt:lpstr>
      <vt:lpstr>PRISMA_log</vt:lpstr>
      <vt:lpstr>PRISMA2020_inputs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Zac Sentell</cp:lastModifiedBy>
  <dcterms:created xsi:type="dcterms:W3CDTF">2025-12-05T16:34:20Z</dcterms:created>
  <dcterms:modified xsi:type="dcterms:W3CDTF">2026-05-02T12:34:49Z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0x0101001DF9BD4C136BCB48BFFAEB204B48DBA3</vt:lpwstr>
  </property>
  <property fmtid="{D5CDD505-2E9C-101B-9397-08002B2CF9AE}" pid="3" name="MediaServiceImageTags">
    <vt:lpwstr/>
  </property>
</Properties>
</file>