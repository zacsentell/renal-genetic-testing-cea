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zacsentell/work/renal-genetic-testing-cea/data/raw/"/>
    </mc:Choice>
  </mc:AlternateContent>
  <xr:revisionPtr revIDLastSave="0" documentId="13_ncr:1_{D49BC310-23EB-EB49-BA67-CA98CC561E52}" xr6:coauthVersionLast="47" xr6:coauthVersionMax="47" xr10:uidLastSave="{00000000-0000-0000-0000-000000000000}"/>
  <bookViews>
    <workbookView xWindow="40" yWindow="3760" windowWidth="29400" windowHeight="18380" activeTab="1" xr2:uid="{00000000-000D-0000-FFFF-FFFF00000000}"/>
  </bookViews>
  <sheets>
    <sheet name="tab1_raw" sheetId="1" r:id="rId1"/>
    <sheet name="tab2_pool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F2" i="2"/>
  <c r="E2" i="2"/>
  <c r="C2" i="2"/>
  <c r="D2" i="2"/>
</calcChain>
</file>

<file path=xl/sharedStrings.xml><?xml version="1.0" encoding="utf-8"?>
<sst xmlns="http://schemas.openxmlformats.org/spreadsheetml/2006/main" count="296" uniqueCount="88">
  <si>
    <t>source_id</t>
  </si>
  <si>
    <t>source_type</t>
  </si>
  <si>
    <t>test_modality</t>
  </si>
  <si>
    <t>modality_sim</t>
  </si>
  <si>
    <t>modeled_variant_class</t>
  </si>
  <si>
    <t>variant_class_sim</t>
  </si>
  <si>
    <t>size_bin</t>
  </si>
  <si>
    <t>N_tested</t>
  </si>
  <si>
    <t>N_detected</t>
  </si>
  <si>
    <t>alpha</t>
  </si>
  <si>
    <t>beta</t>
  </si>
  <si>
    <t>mean_sensitivity</t>
  </si>
  <si>
    <t>parameter_type</t>
  </si>
  <si>
    <t>notes</t>
  </si>
  <si>
    <t>modality_group</t>
  </si>
  <si>
    <t>variant_class_group</t>
  </si>
  <si>
    <t>BlueprintGenetics_ANAA41-09_Table3</t>
  </si>
  <si>
    <t>commercial specifications</t>
  </si>
  <si>
    <t>Exome-based CNV calling</t>
  </si>
  <si>
    <t>Exome</t>
  </si>
  <si>
    <t>CNV</t>
  </si>
  <si>
    <t>CNV_large</t>
  </si>
  <si>
    <t>Microdeletion syndromes (0.10-47 Mb)</t>
  </si>
  <si>
    <t>PanelExome</t>
  </si>
  <si>
    <t>CNV_SV</t>
  </si>
  <si>
    <t>Wenzel_2018_SciRep_background</t>
  </si>
  <si>
    <t>peer-reviewed primary study</t>
  </si>
  <si>
    <t>Short-read WES</t>
  </si>
  <si>
    <t>MUC1_VNTR</t>
  </si>
  <si>
    <t>standard NGS (no dedicated assay)</t>
  </si>
  <si>
    <t>fixed</t>
  </si>
  <si>
    <t>Fixed sensitivity=0 for standard short-read sequencing (MUC1 VNTR not detectable).</t>
  </si>
  <si>
    <t>Ali_2019_SciRep_Table3_text</t>
  </si>
  <si>
    <t>PKD1_pseudogene</t>
  </si>
  <si>
    <t>exons 1–32</t>
  </si>
  <si>
    <t>Derived from text: family 5 (8/8 undetected) + family 6 (1/6 detected) =&gt; 1/14.</t>
  </si>
  <si>
    <t>BlueprintGenetics_ANAA41-09_Table2</t>
  </si>
  <si>
    <t>Short-read WES (boosted) / panel slice</t>
  </si>
  <si>
    <t>SNV</t>
  </si>
  <si>
    <t>SNV_INDEL</t>
  </si>
  <si>
    <t>1 bp</t>
  </si>
  <si>
    <t>INDEL</t>
  </si>
  <si>
    <t>1-10 bp</t>
  </si>
  <si>
    <t>11-20 bp</t>
  </si>
  <si>
    <t>21-30 bp</t>
  </si>
  <si>
    <t>31-40 bp</t>
  </si>
  <si>
    <t>Minoche_2021_GenomeMed_Table2</t>
  </si>
  <si>
    <t>Short-read WGS</t>
  </si>
  <si>
    <t>Genome</t>
  </si>
  <si>
    <t>100k–500k deletions</t>
  </si>
  <si>
    <t>ClinSV simulated ClinVar; deletions size bin; extracted from Table 2 snippet.</t>
  </si>
  <si>
    <t>500k–5M deletions</t>
  </si>
  <si>
    <t>&gt;100,000 bp</t>
  </si>
  <si>
    <t>Mallawaarachchi_2016_EJHG_Table2_text</t>
  </si>
  <si>
    <t>exons 1–33</t>
  </si>
  <si>
    <t>Text reports 12 disease-causing variants within pseudogene-homologous region; all confirmed; no false positives reported.</t>
  </si>
  <si>
    <t>Variantyx_GenomicUnity_ClinicalValidation_2019_SNV</t>
  </si>
  <si>
    <t>Wenzel_2018_SciRep_Table1</t>
  </si>
  <si>
    <t>peer reviewed</t>
  </si>
  <si>
    <t>Targeted long-read VNTR (PacBio SMRT)</t>
  </si>
  <si>
    <t>MUC1_assay</t>
  </si>
  <si>
    <t>Difficult_Locus</t>
  </si>
  <si>
    <t>MUC1 VNTR insC (1 bp insertion in 7C homopolymer)</t>
  </si>
  <si>
    <t>Pooled across snapshot-positive individuals in Table 1 (Affected SMRT pos/snapshot pos).</t>
  </si>
  <si>
    <t>Rossetti_2012_JASN_proof_of_principle</t>
  </si>
  <si>
    <t>Dedicated PKD1 assay (LR-PCR + short-read NGS)</t>
  </si>
  <si>
    <t>PKD1_assay</t>
  </si>
  <si>
    <t>PKD1_dedicated_assay</t>
  </si>
  <si>
    <t>PKD1 (all exons; control variants)</t>
  </si>
  <si>
    <t>Proof-of-principle: 281 known variants; two deletions missed due to 51-bp reads.</t>
  </si>
  <si>
    <t>Short-read targeted NGS panel</t>
  </si>
  <si>
    <t>Panel</t>
  </si>
  <si>
    <t>Applied Blueprint Genetics microdeletion CNV sensitivity to targeted panel (assumption: comparable read-depth CNV calling for large microdeletions).</t>
  </si>
  <si>
    <t>Invitae_DEN210011_Table29</t>
  </si>
  <si>
    <t>all</t>
  </si>
  <si>
    <t>all deletions</t>
  </si>
  <si>
    <t>all insertions</t>
  </si>
  <si>
    <t>Variantyx_GenomicUnity_ClinicalValidation_2019_SV_gt100kb</t>
  </si>
  <si>
    <t>commercial_validation</t>
  </si>
  <si>
    <t>WGS</t>
  </si>
  <si>
    <t>SV</t>
  </si>
  <si>
    <t>SV_large</t>
  </si>
  <si>
    <t>Variantyx Genomic Unity: 18 SVs &gt;100 kb, all detected (PDF lines 397-399).</t>
  </si>
  <si>
    <t>N_tested_total</t>
  </si>
  <si>
    <t>N_detected_total</t>
  </si>
  <si>
    <t>sources</t>
  </si>
  <si>
    <t>Minoche_2021_GenomeMed_Table2;Variantyx_GenomicUnity_ClinicalValidation_2019_CNV;Variantyx_GenomicUnity_ClinicalValidation_2019_SV_gt100kb</t>
  </si>
  <si>
    <t>BlueprintGenetics_ANAA41-09_Table2;Invitae_DEN210011_Table29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</si>
</sst>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opLeftCell="D1" zoomScale="118" workbookViewId="0">
      <selection activeCell="G28" sqref="G28"/>
    </sheetView>
  </sheetViews>
  <sheetFormatPr baseColWidth="10" defaultColWidth="8.83203125" defaultRowHeight="15" x14ac:dyDescent="0.2"/>
  <cols>
    <col min="1" max="1" width="22.5" customWidth="1"/>
    <col min="2" max="2" width="20.33203125" customWidth="1"/>
    <col min="3" max="3" width="20.1640625" customWidth="1"/>
    <col min="4" max="4" width="16.33203125" customWidth="1"/>
    <col min="5" max="5" width="22.5" customWidth="1"/>
    <col min="6" max="6" width="16" customWidth="1"/>
    <col min="7" max="7" width="30.83203125" customWidth="1"/>
    <col min="8" max="8" width="8.33203125" customWidth="1"/>
    <col min="9" max="9" width="15.1640625" customWidth="1"/>
    <col min="10" max="10" width="8.33203125" customWidth="1"/>
    <col min="12" max="12" width="11.1640625" customWidth="1"/>
    <col min="13" max="13" width="14.83203125" customWidth="1"/>
    <col min="15" max="15" width="16.33203125" customWidth="1"/>
    <col min="16" max="16" width="21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37</v>
      </c>
      <c r="I2">
        <v>37</v>
      </c>
      <c r="J2">
        <v>38</v>
      </c>
      <c r="K2">
        <v>1</v>
      </c>
      <c r="L2">
        <v>0.97435897435897445</v>
      </c>
      <c r="M2" t="s">
        <v>10</v>
      </c>
      <c r="O2" t="s">
        <v>23</v>
      </c>
      <c r="P2" t="s">
        <v>24</v>
      </c>
    </row>
    <row r="3" spans="1:16" x14ac:dyDescent="0.2">
      <c r="A3" t="s">
        <v>25</v>
      </c>
      <c r="B3" t="s">
        <v>26</v>
      </c>
      <c r="C3" t="s">
        <v>27</v>
      </c>
      <c r="D3" t="s">
        <v>19</v>
      </c>
      <c r="E3" t="s">
        <v>28</v>
      </c>
      <c r="F3" t="s">
        <v>28</v>
      </c>
      <c r="G3" t="s">
        <v>29</v>
      </c>
      <c r="L3">
        <v>0</v>
      </c>
      <c r="M3" t="s">
        <v>30</v>
      </c>
      <c r="N3" t="s">
        <v>31</v>
      </c>
      <c r="O3" t="s">
        <v>23</v>
      </c>
      <c r="P3" t="s">
        <v>28</v>
      </c>
    </row>
    <row r="4" spans="1:16" x14ac:dyDescent="0.2">
      <c r="A4" t="s">
        <v>32</v>
      </c>
      <c r="B4" t="s">
        <v>26</v>
      </c>
      <c r="C4" t="s">
        <v>27</v>
      </c>
      <c r="D4" t="s">
        <v>19</v>
      </c>
      <c r="E4" t="s">
        <v>33</v>
      </c>
      <c r="F4" t="s">
        <v>33</v>
      </c>
      <c r="G4" t="s">
        <v>34</v>
      </c>
      <c r="H4">
        <v>14</v>
      </c>
      <c r="I4">
        <v>1</v>
      </c>
      <c r="J4">
        <v>2</v>
      </c>
      <c r="K4">
        <v>14</v>
      </c>
      <c r="L4">
        <v>0.125</v>
      </c>
      <c r="M4" t="s">
        <v>10</v>
      </c>
      <c r="N4" t="s">
        <v>35</v>
      </c>
      <c r="O4" t="s">
        <v>23</v>
      </c>
      <c r="P4" t="s">
        <v>33</v>
      </c>
    </row>
    <row r="5" spans="1:16" x14ac:dyDescent="0.2">
      <c r="A5" t="s">
        <v>36</v>
      </c>
      <c r="B5" t="s">
        <v>17</v>
      </c>
      <c r="C5" t="s">
        <v>37</v>
      </c>
      <c r="D5" t="s">
        <v>19</v>
      </c>
      <c r="E5" t="s">
        <v>38</v>
      </c>
      <c r="F5" t="s">
        <v>39</v>
      </c>
      <c r="G5" t="s">
        <v>40</v>
      </c>
      <c r="H5">
        <v>413893</v>
      </c>
      <c r="I5">
        <v>412456</v>
      </c>
      <c r="J5">
        <v>412457</v>
      </c>
      <c r="K5">
        <v>1438</v>
      </c>
      <c r="L5">
        <v>0.99652568888244597</v>
      </c>
      <c r="M5" t="s">
        <v>10</v>
      </c>
      <c r="O5" t="s">
        <v>23</v>
      </c>
      <c r="P5" t="s">
        <v>39</v>
      </c>
    </row>
    <row r="6" spans="1:16" x14ac:dyDescent="0.2">
      <c r="A6" t="s">
        <v>36</v>
      </c>
      <c r="B6" t="s">
        <v>17</v>
      </c>
      <c r="C6" t="s">
        <v>37</v>
      </c>
      <c r="D6" t="s">
        <v>19</v>
      </c>
      <c r="E6" t="s">
        <v>41</v>
      </c>
      <c r="F6" t="s">
        <v>39</v>
      </c>
      <c r="G6" t="s">
        <v>42</v>
      </c>
      <c r="H6">
        <v>17608</v>
      </c>
      <c r="I6">
        <v>17070</v>
      </c>
      <c r="J6">
        <v>17071</v>
      </c>
      <c r="K6">
        <v>539</v>
      </c>
      <c r="L6">
        <v>0.96939239068710958</v>
      </c>
      <c r="M6" t="s">
        <v>10</v>
      </c>
      <c r="O6" t="s">
        <v>23</v>
      </c>
      <c r="P6" t="s">
        <v>39</v>
      </c>
    </row>
    <row r="7" spans="1:16" x14ac:dyDescent="0.2">
      <c r="A7" t="s">
        <v>36</v>
      </c>
      <c r="B7" t="s">
        <v>17</v>
      </c>
      <c r="C7" t="s">
        <v>37</v>
      </c>
      <c r="D7" t="s">
        <v>19</v>
      </c>
      <c r="E7" t="s">
        <v>41</v>
      </c>
      <c r="F7" t="s">
        <v>39</v>
      </c>
      <c r="G7" t="s">
        <v>43</v>
      </c>
      <c r="H7">
        <v>800</v>
      </c>
      <c r="I7">
        <v>791</v>
      </c>
      <c r="J7">
        <v>792</v>
      </c>
      <c r="K7">
        <v>10</v>
      </c>
      <c r="L7">
        <v>0.98753117206982544</v>
      </c>
      <c r="M7" t="s">
        <v>10</v>
      </c>
      <c r="O7" t="s">
        <v>23</v>
      </c>
      <c r="P7" t="s">
        <v>39</v>
      </c>
    </row>
    <row r="8" spans="1:16" x14ac:dyDescent="0.2">
      <c r="A8" t="s">
        <v>36</v>
      </c>
      <c r="B8" t="s">
        <v>17</v>
      </c>
      <c r="C8" t="s">
        <v>37</v>
      </c>
      <c r="D8" t="s">
        <v>19</v>
      </c>
      <c r="E8" t="s">
        <v>41</v>
      </c>
      <c r="F8" t="s">
        <v>39</v>
      </c>
      <c r="G8" t="s">
        <v>44</v>
      </c>
      <c r="H8">
        <v>145</v>
      </c>
      <c r="I8">
        <v>145</v>
      </c>
      <c r="J8">
        <v>146</v>
      </c>
      <c r="K8">
        <v>1</v>
      </c>
      <c r="L8">
        <v>0.99319727891156462</v>
      </c>
      <c r="M8" t="s">
        <v>10</v>
      </c>
      <c r="O8" t="s">
        <v>23</v>
      </c>
      <c r="P8" t="s">
        <v>39</v>
      </c>
    </row>
    <row r="9" spans="1:16" x14ac:dyDescent="0.2">
      <c r="A9" t="s">
        <v>36</v>
      </c>
      <c r="B9" t="s">
        <v>17</v>
      </c>
      <c r="C9" t="s">
        <v>37</v>
      </c>
      <c r="D9" t="s">
        <v>19</v>
      </c>
      <c r="E9" t="s">
        <v>41</v>
      </c>
      <c r="F9" t="s">
        <v>39</v>
      </c>
      <c r="G9" t="s">
        <v>45</v>
      </c>
      <c r="H9">
        <v>19</v>
      </c>
      <c r="I9">
        <v>19</v>
      </c>
      <c r="J9">
        <v>20</v>
      </c>
      <c r="K9">
        <v>1</v>
      </c>
      <c r="L9">
        <v>0.95238095238095244</v>
      </c>
      <c r="M9" t="s">
        <v>10</v>
      </c>
      <c r="O9" t="s">
        <v>23</v>
      </c>
      <c r="P9" t="s">
        <v>39</v>
      </c>
    </row>
    <row r="10" spans="1:16" x14ac:dyDescent="0.2">
      <c r="A10" t="s">
        <v>46</v>
      </c>
      <c r="B10" t="s">
        <v>26</v>
      </c>
      <c r="C10" t="s">
        <v>47</v>
      </c>
      <c r="D10" t="s">
        <v>48</v>
      </c>
      <c r="E10" t="s">
        <v>20</v>
      </c>
      <c r="F10" t="s">
        <v>21</v>
      </c>
      <c r="G10" t="s">
        <v>49</v>
      </c>
      <c r="H10">
        <v>207</v>
      </c>
      <c r="I10">
        <v>207</v>
      </c>
      <c r="J10">
        <v>208</v>
      </c>
      <c r="K10">
        <v>1</v>
      </c>
      <c r="L10">
        <v>0.99521531100478478</v>
      </c>
      <c r="M10" t="s">
        <v>10</v>
      </c>
      <c r="N10" t="s">
        <v>50</v>
      </c>
      <c r="O10" t="s">
        <v>48</v>
      </c>
      <c r="P10" t="s">
        <v>24</v>
      </c>
    </row>
    <row r="11" spans="1:16" x14ac:dyDescent="0.2">
      <c r="A11" t="s">
        <v>46</v>
      </c>
      <c r="B11" t="s">
        <v>26</v>
      </c>
      <c r="C11" t="s">
        <v>47</v>
      </c>
      <c r="D11" t="s">
        <v>48</v>
      </c>
      <c r="E11" t="s">
        <v>20</v>
      </c>
      <c r="F11" t="s">
        <v>21</v>
      </c>
      <c r="G11" t="s">
        <v>51</v>
      </c>
      <c r="H11">
        <v>69</v>
      </c>
      <c r="I11">
        <v>68</v>
      </c>
      <c r="J11">
        <v>69</v>
      </c>
      <c r="K11">
        <v>2</v>
      </c>
      <c r="L11">
        <v>0.971830985915493</v>
      </c>
      <c r="M11" t="s">
        <v>10</v>
      </c>
      <c r="N11" t="s">
        <v>50</v>
      </c>
      <c r="O11" t="s">
        <v>48</v>
      </c>
      <c r="P11" t="s">
        <v>24</v>
      </c>
    </row>
    <row r="12" spans="1:16" x14ac:dyDescent="0.2">
      <c r="A12" t="s">
        <v>25</v>
      </c>
      <c r="B12" t="s">
        <v>26</v>
      </c>
      <c r="C12" t="s">
        <v>47</v>
      </c>
      <c r="D12" t="s">
        <v>48</v>
      </c>
      <c r="E12" t="s">
        <v>28</v>
      </c>
      <c r="F12" t="s">
        <v>28</v>
      </c>
      <c r="G12" t="s">
        <v>29</v>
      </c>
      <c r="L12">
        <v>0</v>
      </c>
      <c r="M12" t="s">
        <v>30</v>
      </c>
      <c r="N12" t="s">
        <v>31</v>
      </c>
      <c r="O12" t="s">
        <v>48</v>
      </c>
      <c r="P12" t="s">
        <v>28</v>
      </c>
    </row>
    <row r="13" spans="1:16" x14ac:dyDescent="0.2">
      <c r="A13" t="s">
        <v>53</v>
      </c>
      <c r="B13" t="s">
        <v>26</v>
      </c>
      <c r="C13" t="s">
        <v>47</v>
      </c>
      <c r="D13" t="s">
        <v>48</v>
      </c>
      <c r="E13" t="s">
        <v>33</v>
      </c>
      <c r="F13" t="s">
        <v>33</v>
      </c>
      <c r="G13" t="s">
        <v>54</v>
      </c>
      <c r="H13">
        <v>12</v>
      </c>
      <c r="I13">
        <v>12</v>
      </c>
      <c r="J13">
        <v>13</v>
      </c>
      <c r="K13">
        <v>1</v>
      </c>
      <c r="L13">
        <v>0.9285714285714286</v>
      </c>
      <c r="M13" t="s">
        <v>10</v>
      </c>
      <c r="N13" t="s">
        <v>55</v>
      </c>
      <c r="O13" t="s">
        <v>48</v>
      </c>
      <c r="P13" t="s">
        <v>33</v>
      </c>
    </row>
    <row r="14" spans="1:16" x14ac:dyDescent="0.2">
      <c r="A14" t="s">
        <v>56</v>
      </c>
      <c r="B14" t="s">
        <v>17</v>
      </c>
      <c r="C14" t="s">
        <v>47</v>
      </c>
      <c r="D14" t="s">
        <v>48</v>
      </c>
      <c r="E14" t="s">
        <v>38</v>
      </c>
      <c r="F14" t="s">
        <v>39</v>
      </c>
      <c r="G14" t="s">
        <v>40</v>
      </c>
      <c r="H14">
        <v>2726568</v>
      </c>
      <c r="I14">
        <v>2723422</v>
      </c>
      <c r="J14">
        <v>2723423</v>
      </c>
      <c r="K14">
        <v>3147</v>
      </c>
      <c r="L14">
        <v>0.99884580260180378</v>
      </c>
      <c r="M14" t="s">
        <v>10</v>
      </c>
      <c r="O14" t="s">
        <v>48</v>
      </c>
      <c r="P14" t="s">
        <v>39</v>
      </c>
    </row>
    <row r="15" spans="1:16" x14ac:dyDescent="0.2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 t="s">
        <v>28</v>
      </c>
      <c r="G15" t="s">
        <v>62</v>
      </c>
      <c r="H15">
        <v>19</v>
      </c>
      <c r="I15">
        <v>19</v>
      </c>
      <c r="J15">
        <v>20</v>
      </c>
      <c r="K15">
        <v>1</v>
      </c>
      <c r="L15">
        <v>0.95238095238095244</v>
      </c>
      <c r="M15" t="s">
        <v>10</v>
      </c>
      <c r="N15" t="s">
        <v>63</v>
      </c>
      <c r="O15" t="s">
        <v>60</v>
      </c>
      <c r="P15" t="s">
        <v>28</v>
      </c>
    </row>
    <row r="16" spans="1:16" x14ac:dyDescent="0.2">
      <c r="A16" t="s">
        <v>64</v>
      </c>
      <c r="B16" t="s">
        <v>26</v>
      </c>
      <c r="C16" t="s">
        <v>65</v>
      </c>
      <c r="D16" t="s">
        <v>66</v>
      </c>
      <c r="E16" t="s">
        <v>67</v>
      </c>
      <c r="F16" t="s">
        <v>33</v>
      </c>
      <c r="G16" t="s">
        <v>68</v>
      </c>
      <c r="H16">
        <v>281</v>
      </c>
      <c r="I16">
        <v>279</v>
      </c>
      <c r="J16">
        <v>280</v>
      </c>
      <c r="K16">
        <v>3</v>
      </c>
      <c r="L16">
        <v>0.98939929328621923</v>
      </c>
      <c r="M16" t="s">
        <v>10</v>
      </c>
      <c r="N16" t="s">
        <v>69</v>
      </c>
      <c r="O16" t="s">
        <v>66</v>
      </c>
      <c r="P16" t="s">
        <v>33</v>
      </c>
    </row>
    <row r="17" spans="1:16" x14ac:dyDescent="0.2">
      <c r="A17" t="s">
        <v>16</v>
      </c>
      <c r="B17" t="s">
        <v>17</v>
      </c>
      <c r="C17" t="s">
        <v>70</v>
      </c>
      <c r="D17" t="s">
        <v>71</v>
      </c>
      <c r="E17" t="s">
        <v>20</v>
      </c>
      <c r="F17" t="s">
        <v>21</v>
      </c>
      <c r="G17" t="s">
        <v>22</v>
      </c>
      <c r="H17">
        <v>37</v>
      </c>
      <c r="I17">
        <v>37</v>
      </c>
      <c r="J17">
        <v>38</v>
      </c>
      <c r="K17">
        <v>1</v>
      </c>
      <c r="L17">
        <v>0.97435897435897445</v>
      </c>
      <c r="M17" t="s">
        <v>10</v>
      </c>
      <c r="N17" t="s">
        <v>72</v>
      </c>
      <c r="O17" t="s">
        <v>23</v>
      </c>
      <c r="P17" t="s">
        <v>24</v>
      </c>
    </row>
    <row r="18" spans="1:16" x14ac:dyDescent="0.2">
      <c r="A18" t="s">
        <v>25</v>
      </c>
      <c r="B18" t="s">
        <v>26</v>
      </c>
      <c r="C18" t="s">
        <v>70</v>
      </c>
      <c r="D18" t="s">
        <v>71</v>
      </c>
      <c r="E18" t="s">
        <v>28</v>
      </c>
      <c r="F18" t="s">
        <v>28</v>
      </c>
      <c r="G18" t="s">
        <v>29</v>
      </c>
      <c r="L18">
        <v>0</v>
      </c>
      <c r="M18" t="s">
        <v>30</v>
      </c>
      <c r="N18" t="s">
        <v>31</v>
      </c>
      <c r="O18" t="s">
        <v>23</v>
      </c>
      <c r="P18" t="s">
        <v>28</v>
      </c>
    </row>
    <row r="19" spans="1:16" x14ac:dyDescent="0.2">
      <c r="A19" t="s">
        <v>73</v>
      </c>
      <c r="B19" t="s">
        <v>17</v>
      </c>
      <c r="C19" t="s">
        <v>70</v>
      </c>
      <c r="D19" t="s">
        <v>71</v>
      </c>
      <c r="E19" t="s">
        <v>38</v>
      </c>
      <c r="F19" t="s">
        <v>39</v>
      </c>
      <c r="G19" t="s">
        <v>40</v>
      </c>
      <c r="H19">
        <v>2180</v>
      </c>
      <c r="I19">
        <v>2180</v>
      </c>
      <c r="J19">
        <v>2181</v>
      </c>
      <c r="K19">
        <v>1</v>
      </c>
      <c r="L19">
        <v>0.99954170485792837</v>
      </c>
      <c r="M19" t="s">
        <v>10</v>
      </c>
      <c r="O19" t="s">
        <v>23</v>
      </c>
      <c r="P19" t="s">
        <v>39</v>
      </c>
    </row>
    <row r="20" spans="1:16" x14ac:dyDescent="0.2">
      <c r="A20" t="s">
        <v>73</v>
      </c>
      <c r="B20" t="s">
        <v>17</v>
      </c>
      <c r="C20" t="s">
        <v>70</v>
      </c>
      <c r="D20" t="s">
        <v>71</v>
      </c>
      <c r="E20" t="s">
        <v>41</v>
      </c>
      <c r="F20" t="s">
        <v>39</v>
      </c>
      <c r="G20" t="s">
        <v>74</v>
      </c>
      <c r="H20">
        <v>3914</v>
      </c>
      <c r="I20">
        <v>3914</v>
      </c>
      <c r="J20">
        <v>3915</v>
      </c>
      <c r="K20">
        <v>1</v>
      </c>
      <c r="L20">
        <v>0.99974463738508679</v>
      </c>
      <c r="M20" t="s">
        <v>10</v>
      </c>
      <c r="O20" t="s">
        <v>23</v>
      </c>
      <c r="P20" t="s">
        <v>39</v>
      </c>
    </row>
    <row r="21" spans="1:16" x14ac:dyDescent="0.2">
      <c r="A21" t="s">
        <v>73</v>
      </c>
      <c r="B21" t="s">
        <v>17</v>
      </c>
      <c r="C21" t="s">
        <v>70</v>
      </c>
      <c r="D21" t="s">
        <v>71</v>
      </c>
      <c r="E21" t="s">
        <v>41</v>
      </c>
      <c r="F21" t="s">
        <v>39</v>
      </c>
      <c r="G21" t="s">
        <v>75</v>
      </c>
      <c r="H21">
        <v>2674</v>
      </c>
      <c r="I21">
        <v>2674</v>
      </c>
      <c r="J21">
        <v>2675</v>
      </c>
      <c r="K21">
        <v>1</v>
      </c>
      <c r="L21">
        <v>0.99962630792227203</v>
      </c>
      <c r="M21" t="s">
        <v>10</v>
      </c>
      <c r="O21" t="s">
        <v>23</v>
      </c>
      <c r="P21" t="s">
        <v>39</v>
      </c>
    </row>
    <row r="22" spans="1:16" x14ac:dyDescent="0.2">
      <c r="A22" t="s">
        <v>73</v>
      </c>
      <c r="B22" t="s">
        <v>17</v>
      </c>
      <c r="C22" t="s">
        <v>70</v>
      </c>
      <c r="D22" t="s">
        <v>71</v>
      </c>
      <c r="E22" t="s">
        <v>41</v>
      </c>
      <c r="F22" t="s">
        <v>39</v>
      </c>
      <c r="G22" t="s">
        <v>76</v>
      </c>
      <c r="H22">
        <v>1240</v>
      </c>
      <c r="I22">
        <v>1240</v>
      </c>
      <c r="J22">
        <v>1241</v>
      </c>
      <c r="K22">
        <v>1</v>
      </c>
      <c r="L22">
        <v>0.99919484702093397</v>
      </c>
      <c r="M22" t="s">
        <v>10</v>
      </c>
      <c r="O22" t="s">
        <v>23</v>
      </c>
      <c r="P22" t="s">
        <v>39</v>
      </c>
    </row>
    <row r="23" spans="1:16" x14ac:dyDescent="0.2">
      <c r="A23" t="s">
        <v>77</v>
      </c>
      <c r="B23" t="s">
        <v>78</v>
      </c>
      <c r="C23" t="s">
        <v>79</v>
      </c>
      <c r="D23" t="s">
        <v>48</v>
      </c>
      <c r="E23" t="s">
        <v>80</v>
      </c>
      <c r="F23" t="s">
        <v>81</v>
      </c>
      <c r="G23" t="s">
        <v>52</v>
      </c>
      <c r="H23">
        <v>18</v>
      </c>
      <c r="I23">
        <v>18</v>
      </c>
      <c r="J23">
        <v>19</v>
      </c>
      <c r="K23">
        <v>1</v>
      </c>
      <c r="L23">
        <v>0.95</v>
      </c>
      <c r="M23" t="s">
        <v>10</v>
      </c>
      <c r="N23" t="s">
        <v>82</v>
      </c>
      <c r="O23" t="s">
        <v>48</v>
      </c>
      <c r="P23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zoomScale="140" workbookViewId="0">
      <selection activeCell="G9" sqref="G9"/>
    </sheetView>
  </sheetViews>
  <sheetFormatPr baseColWidth="10" defaultColWidth="8.83203125" defaultRowHeight="15" x14ac:dyDescent="0.2"/>
  <cols>
    <col min="1" max="1" width="19.83203125" customWidth="1"/>
    <col min="2" max="2" width="21" customWidth="1"/>
    <col min="3" max="3" width="12.6640625" customWidth="1"/>
    <col min="4" max="4" width="15.5" customWidth="1"/>
    <col min="7" max="7" width="14.83203125" customWidth="1"/>
    <col min="8" max="8" width="21.1640625" customWidth="1"/>
    <col min="9" max="9" width="29.33203125" customWidth="1"/>
  </cols>
  <sheetData>
    <row r="1" spans="1:9" x14ac:dyDescent="0.2">
      <c r="A1" s="1" t="s">
        <v>3</v>
      </c>
      <c r="B1" s="1" t="s">
        <v>5</v>
      </c>
      <c r="C1" s="1" t="s">
        <v>83</v>
      </c>
      <c r="D1" s="1" t="s">
        <v>84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85</v>
      </c>
    </row>
    <row r="2" spans="1:9" x14ac:dyDescent="0.2">
      <c r="A2" t="s">
        <v>48</v>
      </c>
      <c r="B2" t="s">
        <v>24</v>
      </c>
      <c r="C2">
        <f>tab1_raw!H10+tab1_raw!H11</f>
        <v>276</v>
      </c>
      <c r="D2">
        <f>tab1_raw!I10+tab1_raw!I11</f>
        <v>275</v>
      </c>
      <c r="E2">
        <f>tab1_raw!J10+tab1_raw!J11</f>
        <v>277</v>
      </c>
      <c r="F2">
        <f>tab1_raw!K10+tab1_raw!K11</f>
        <v>3</v>
      </c>
      <c r="G2">
        <f>D2/C2</f>
        <v>0.99637681159420288</v>
      </c>
      <c r="H2" t="s">
        <v>10</v>
      </c>
      <c r="I2" t="s">
        <v>86</v>
      </c>
    </row>
    <row r="3" spans="1:9" x14ac:dyDescent="0.2">
      <c r="A3" t="s">
        <v>48</v>
      </c>
      <c r="B3" t="s">
        <v>28</v>
      </c>
      <c r="G3">
        <v>0</v>
      </c>
      <c r="H3" t="s">
        <v>30</v>
      </c>
      <c r="I3" t="s">
        <v>25</v>
      </c>
    </row>
    <row r="4" spans="1:9" x14ac:dyDescent="0.2">
      <c r="A4" t="s">
        <v>48</v>
      </c>
      <c r="B4" t="s">
        <v>33</v>
      </c>
      <c r="C4">
        <v>12</v>
      </c>
      <c r="D4">
        <v>12</v>
      </c>
      <c r="E4">
        <v>13</v>
      </c>
      <c r="F4">
        <v>1</v>
      </c>
      <c r="G4">
        <v>0.9285714285714286</v>
      </c>
      <c r="H4" t="s">
        <v>10</v>
      </c>
      <c r="I4" t="s">
        <v>53</v>
      </c>
    </row>
    <row r="5" spans="1:9" x14ac:dyDescent="0.2">
      <c r="A5" t="s">
        <v>48</v>
      </c>
      <c r="B5" t="s">
        <v>39</v>
      </c>
      <c r="C5">
        <v>2726568</v>
      </c>
      <c r="D5">
        <v>2723422</v>
      </c>
      <c r="E5">
        <v>2723423</v>
      </c>
      <c r="F5">
        <v>3147</v>
      </c>
      <c r="G5">
        <v>0.99884580260180378</v>
      </c>
      <c r="H5" t="s">
        <v>10</v>
      </c>
      <c r="I5" t="s">
        <v>56</v>
      </c>
    </row>
    <row r="6" spans="1:9" x14ac:dyDescent="0.2">
      <c r="A6" t="s">
        <v>60</v>
      </c>
      <c r="B6" t="s">
        <v>28</v>
      </c>
      <c r="C6">
        <v>19</v>
      </c>
      <c r="D6">
        <v>19</v>
      </c>
      <c r="E6">
        <v>20</v>
      </c>
      <c r="F6">
        <v>1</v>
      </c>
      <c r="G6">
        <v>0.95238095238095233</v>
      </c>
      <c r="H6" t="s">
        <v>10</v>
      </c>
      <c r="I6" t="s">
        <v>57</v>
      </c>
    </row>
    <row r="7" spans="1:9" x14ac:dyDescent="0.2">
      <c r="A7" t="s">
        <v>66</v>
      </c>
      <c r="B7" t="s">
        <v>33</v>
      </c>
      <c r="C7">
        <v>281</v>
      </c>
      <c r="D7">
        <v>279</v>
      </c>
      <c r="E7">
        <v>280</v>
      </c>
      <c r="F7">
        <v>3</v>
      </c>
      <c r="G7">
        <v>0.98939929328621912</v>
      </c>
      <c r="H7" t="s">
        <v>10</v>
      </c>
      <c r="I7" t="s">
        <v>64</v>
      </c>
    </row>
    <row r="8" spans="1:9" x14ac:dyDescent="0.2">
      <c r="A8" t="s">
        <v>23</v>
      </c>
      <c r="B8" t="s">
        <v>24</v>
      </c>
      <c r="C8">
        <v>37</v>
      </c>
      <c r="D8">
        <v>37</v>
      </c>
      <c r="E8">
        <v>38</v>
      </c>
      <c r="F8">
        <v>1</v>
      </c>
      <c r="G8">
        <v>0.97435897435897434</v>
      </c>
      <c r="H8" t="s">
        <v>10</v>
      </c>
      <c r="I8" t="s">
        <v>16</v>
      </c>
    </row>
    <row r="9" spans="1:9" x14ac:dyDescent="0.2">
      <c r="A9" t="s">
        <v>23</v>
      </c>
      <c r="B9" t="s">
        <v>28</v>
      </c>
      <c r="G9">
        <v>0.95238095238095233</v>
      </c>
      <c r="H9" t="s">
        <v>30</v>
      </c>
      <c r="I9" t="s">
        <v>25</v>
      </c>
    </row>
    <row r="10" spans="1:9" x14ac:dyDescent="0.2">
      <c r="A10" t="s">
        <v>23</v>
      </c>
      <c r="B10" t="s">
        <v>33</v>
      </c>
      <c r="C10">
        <v>14</v>
      </c>
      <c r="D10">
        <v>1</v>
      </c>
      <c r="E10">
        <v>2</v>
      </c>
      <c r="F10">
        <v>14</v>
      </c>
      <c r="G10">
        <v>0.125</v>
      </c>
      <c r="H10" t="s">
        <v>10</v>
      </c>
      <c r="I10" t="s">
        <v>32</v>
      </c>
    </row>
    <row r="11" spans="1:9" x14ac:dyDescent="0.2">
      <c r="A11" t="s">
        <v>23</v>
      </c>
      <c r="B11" t="s">
        <v>39</v>
      </c>
      <c r="C11">
        <v>442473</v>
      </c>
      <c r="D11">
        <v>440489</v>
      </c>
      <c r="E11">
        <v>440490</v>
      </c>
      <c r="F11">
        <v>1985</v>
      </c>
      <c r="G11">
        <v>0.99551387084016041</v>
      </c>
      <c r="H11" t="s">
        <v>10</v>
      </c>
      <c r="I11" t="s">
        <v>87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F9BD4C136BCB48BFFAEB204B48DBA3" ma:contentTypeVersion="14" ma:contentTypeDescription="Create a new document." ma:contentTypeScope="" ma:versionID="81104982f69df3422b2ca7147b1d7166">
  <xsd:schema xmlns:xsd="http://www.w3.org/2001/XMLSchema" xmlns:xs="http://www.w3.org/2001/XMLSchema" xmlns:p="http://schemas.microsoft.com/office/2006/metadata/properties" xmlns:ns2="cca24d7f-b98d-43a3-b659-e3037fc904a8" xmlns:ns3="f38dbe94-7885-4da3-8834-2d39cad2d886" targetNamespace="http://schemas.microsoft.com/office/2006/metadata/properties" ma:root="true" ma:fieldsID="8d038e88f27c07df9ba953a0dee2d397" ns2:_="" ns3:_="">
    <xsd:import namespace="cca24d7f-b98d-43a3-b659-e3037fc904a8"/>
    <xsd:import namespace="f38dbe94-7885-4da3-8834-2d39cad2d8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a24d7f-b98d-43a3-b659-e3037fc904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dbe94-7885-4da3-8834-2d39cad2d88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c5fecde-ef99-4a74-9176-78086f967960}" ma:internalName="TaxCatchAll" ma:showField="CatchAllData" ma:web="f38dbe94-7885-4da3-8834-2d39cad2d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a24d7f-b98d-43a3-b659-e3037fc904a8">
      <Terms xmlns="http://schemas.microsoft.com/office/infopath/2007/PartnerControls"/>
    </lcf76f155ced4ddcb4097134ff3c332f>
    <TaxCatchAll xmlns="f38dbe94-7885-4da3-8834-2d39cad2d886" xsi:nil="true"/>
  </documentManagement>
</p:properties>
</file>

<file path=customXml/itemProps1.xml><?xml version="1.0" encoding="utf-8"?>
<ds:datastoreItem xmlns:ds="http://schemas.openxmlformats.org/officeDocument/2006/customXml" ds:itemID="{168F89E9-DB97-4E89-8F50-370392B15B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a24d7f-b98d-43a3-b659-e3037fc904a8"/>
    <ds:schemaRef ds:uri="f38dbe94-7885-4da3-8834-2d39cad2d8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111EB-BB6B-4EE6-AAAE-A7405473BE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A4C1A5-7021-47DE-A70F-D19D0E13F453}">
  <ds:schemaRefs>
    <ds:schemaRef ds:uri="http://schemas.microsoft.com/office/2006/documentManagement/types"/>
    <ds:schemaRef ds:uri="http://purl.org/dc/terms/"/>
    <ds:schemaRef ds:uri="http://www.w3.org/XML/1998/namespace"/>
    <ds:schemaRef ds:uri="cca24d7f-b98d-43a3-b659-e3037fc904a8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f38dbe94-7885-4da3-8834-2d39cad2d88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tab1_raw</vt:lpstr>
      <vt:lpstr>tab2_pooled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Zachary Sentell</dc:creator>
  <cp:keywords/>
  <dc:description/>
  <cp:lastModifiedBy>Zac Sentell</cp:lastModifiedBy>
  <dcterms:created xsi:type="dcterms:W3CDTF">2025-12-23T15:08:53Z</dcterms:created>
  <dcterms:modified xsi:type="dcterms:W3CDTF">2026-01-07T22:47:10Z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0x0101001DF9BD4C136BCB48BFFAEB204B48DBA3</vt:lpwstr>
  </property>
</Properties>
</file>