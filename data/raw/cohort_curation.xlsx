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gill.sharepoint.com/sites/Wholeexomeplatform_Group/Shared Documents/MUHC_Nephrogenetics_Manuscript/Data/cea/renal-genetic-testing-cea/data/raw/"/>
    </mc:Choice>
  </mc:AlternateContent>
  <xr:revisionPtr revIDLastSave="72" documentId="8_{E2CABED7-4FC9-B146-AE35-4D3E6B47E906}" xr6:coauthVersionLast="47" xr6:coauthVersionMax="47" xr10:uidLastSave="{F234C0DB-0BB7-734E-B53A-C17EBDD874E9}"/>
  <bookViews>
    <workbookView xWindow="0" yWindow="740" windowWidth="29400" windowHeight="18380" xr2:uid="{B3794FFD-4B95-8F44-9B28-9DD99AC60E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" i="1"/>
  <c r="F2" i="1"/>
</calcChain>
</file>

<file path=xl/sharedStrings.xml><?xml version="1.0" encoding="utf-8"?>
<sst xmlns="http://schemas.openxmlformats.org/spreadsheetml/2006/main" count="130" uniqueCount="71">
  <si>
    <t>PMID</t>
  </si>
  <si>
    <t>Study_ID</t>
  </si>
  <si>
    <t>Phenotype_Category</t>
  </si>
  <si>
    <t>N_probands_in_category</t>
  </si>
  <si>
    <t>N_solved_in_category</t>
  </si>
  <si>
    <t>Overall_yield_in_category</t>
  </si>
  <si>
    <t>Phenotype_mapping_source</t>
  </si>
  <si>
    <t>Notes</t>
  </si>
  <si>
    <t>Vaisitti2021_JNephrol</t>
  </si>
  <si>
    <t>glomerular</t>
  </si>
  <si>
    <t>Glomerular disease</t>
  </si>
  <si>
    <t>cystic</t>
  </si>
  <si>
    <t>Ciliopathies</t>
  </si>
  <si>
    <t>tubulopathy</t>
  </si>
  <si>
    <t>complement/aHUS</t>
  </si>
  <si>
    <t>Haemolytic uraemic syndrome</t>
  </si>
  <si>
    <t>CAKUT</t>
  </si>
  <si>
    <t>Organ failure for unknown reasons; Others</t>
  </si>
  <si>
    <t>Yield explicitly stated as 14/21 (66.7%)</t>
  </si>
  <si>
    <t>Yield explicitly stated as 22/32 (68.8%)</t>
  </si>
  <si>
    <t>Yield explicitly stated as 1/4 (25%)</t>
  </si>
  <si>
    <t>Combines "Organ failure for unknown reasons" (n=60, 32 solved) and "Others" (n=5). Yield for "Others" derived as 2 based on residual math from total solved (78) and Figure 4 percentages.</t>
  </si>
  <si>
    <t>Dahl2023_RenaCARE</t>
  </si>
  <si>
    <t>Cystic nephropathy</t>
  </si>
  <si>
    <r>
      <t xml:space="preserve">Yield calculation includes </t>
    </r>
    <r>
      <rPr>
        <i/>
        <sz val="12"/>
        <color rgb="FF1F1F1F"/>
        <rFont val="Arial"/>
        <family val="2"/>
      </rPr>
      <t>PKD1/2</t>
    </r>
    <r>
      <rPr>
        <sz val="12"/>
        <color rgb="FF1F1F1F"/>
        <rFont val="Arial"/>
        <family val="2"/>
      </rPr>
      <t xml:space="preserve"> and other ciliopathy genes.</t>
    </r>
  </si>
  <si>
    <t>Proteinuric disease suggestive of a primary glomerulopathy; Hematuria</t>
  </si>
  <si>
    <t>Combined "Proteinuric disease" (N=236, 40 solved) and "Hematuria" (N=45, 15 solved) as both map primarily to glomerular etiologies (e.g., Alport) in this dataset.</t>
  </si>
  <si>
    <t>tubulointerstitial</t>
  </si>
  <si>
    <t>Tubulointerstitial disease of unknown etiology</t>
  </si>
  <si>
    <t>Thrombotic microangiopathy</t>
  </si>
  <si>
    <t>Small sample size (0.2% of cohort).</t>
  </si>
  <si>
    <t>Nephropathy associated with hypertension; Nephropathy associated with diabetes mellitus; ESKD; CKD of unknown etiology; Congenital nephropathy; Early onset, severe, or familial hypertension; Not reported</t>
  </si>
  <si>
    <t>Large proportion of cohort (57%) categorized by broad clinical status (e.g., HTN, DM, ESKD) rather than specific phenotype. "Congenital nephropathy" (N=50, 10 solved) is included here as molecular findings were mixed (Alport, CAKUT, metabolic).</t>
  </si>
  <si>
    <t>Jayasinghe2021_ES_MonogenicKidney</t>
  </si>
  <si>
    <t>Table 2 "Cystic"</t>
  </si>
  <si>
    <t>Authors included some tubulointerstitial diseases (e.g., UMOD, HNF1B, NPHP) within the "Cystic" category based on Supplementary Table S2 groupings.</t>
  </si>
  <si>
    <t>Table 2 "Alport" (n=43) + "Nephrotic" (n=39)</t>
  </si>
  <si>
    <t>Combined Alport syndrome and Nephrotic syndrome categories as both represent glomerular phenotypes.</t>
  </si>
  <si>
    <t>Table 2 "Tubular diseases"</t>
  </si>
  <si>
    <t>Primarily tubulopathies and nephrocalcinosis/nephrolithiasis phenotypes based on solved cases in Supplementary Table S2.</t>
  </si>
  <si>
    <t>Table 2 "CAKUT"</t>
  </si>
  <si>
    <t>Table 2 "Complement abnormality"</t>
  </si>
  <si>
    <t>Blasco2024_AJKD_GENSEN</t>
  </si>
  <si>
    <t>Nonspecific CKD</t>
  </si>
  <si>
    <t>Study focused on CKD of Unknown Etiology (CKDUE) age ≤45. "Nonspecific CKD" defined as CKD without specific features.</t>
  </si>
  <si>
    <t>Largest subgroup in the cohort.</t>
  </si>
  <si>
    <t>Tubulointerstitial disease</t>
  </si>
  <si>
    <t>Cystic disease</t>
  </si>
  <si>
    <t>Study explicitly excluded patients with a positive family history and clinical diagnosis of ADPKD.</t>
  </si>
  <si>
    <t>Figure 4 reports 66.7% yield for CAKUT. Solved count derived from percentage.</t>
  </si>
  <si>
    <t>Elhassan2022_JNephrol</t>
  </si>
  <si>
    <t>PKD</t>
  </si>
  <si>
    <t>Includes ADPKD, ARPKD.</t>
  </si>
  <si>
    <t>Chronic GN, FSGS, AS</t>
  </si>
  <si>
    <t>Aggregated from Chronic GN (n=74, solved=6), FSGS (n=20, solved=7), and Alport syndrome (n=32, solved=18).</t>
  </si>
  <si>
    <t>TIKD</t>
  </si>
  <si>
    <t>Tubulointerstitial kidney disease (ADTKD).</t>
  </si>
  <si>
    <t>Congenital anomalies of the kidney and urinary tract.</t>
  </si>
  <si>
    <t>uCKD, Others</t>
  </si>
  <si>
    <t>Includes uCKD (n=61, solved=19) and "Others" (n=10, solved=6). "Others" contains mixed etiologies including VHL, stones, and specific tubulopathies not categorized under "Tubular".</t>
  </si>
  <si>
    <t>Tubular</t>
  </si>
  <si>
    <t>Maps to the specific "Tubular" category in Table 2.</t>
  </si>
  <si>
    <t>Giovanella2026_ClinGenet</t>
  </si>
  <si>
    <t>"uCKD" defined as unknown/late referral CKD; "At risk" defined as negative phenotype but affected relatives (e.g. kidney donation assessment).</t>
  </si>
  <si>
    <t>Glomerulopathy</t>
  </si>
  <si>
    <t>uCKD and At risk-negative phenotype</t>
  </si>
  <si>
    <t>CKDu</t>
  </si>
  <si>
    <t>Tubular disease including Nephrolithiasis/nephrocalcinosis</t>
  </si>
  <si>
    <t>Yield explicitly stated as 4/11 (36.4%) for tubular disease and Yield explicitly stated as 1/2 (50%)</t>
  </si>
  <si>
    <t>Electrolyte and/or acid base disorder + Nephrolithiasis with family history</t>
  </si>
  <si>
    <t>Tubulopathy + Nephrolithiasis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</si>
</sst>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i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EE3EE-00AA-1A41-96C2-41C5BCE56F05}">
  <dimension ref="A1:H34"/>
  <sheetViews>
    <sheetView tabSelected="1" topLeftCell="B11" zoomScale="125" workbookViewId="0">
      <selection activeCell="C36" sqref="C36"/>
    </sheetView>
  </sheetViews>
  <sheetFormatPr baseColWidth="10" defaultRowHeight="16" x14ac:dyDescent="0.2"/>
  <cols>
    <col min="1" max="1" width="10.83203125" style="3"/>
    <col min="2" max="2" width="39.83203125" style="3" customWidth="1"/>
    <col min="3" max="3" width="26.6640625" style="3" customWidth="1"/>
    <col min="4" max="5" width="10.83203125" style="3"/>
    <col min="6" max="6" width="13.33203125" style="3" bestFit="1" customWidth="1"/>
    <col min="7" max="7" width="53.33203125" style="3" customWidth="1"/>
    <col min="8" max="8" width="82.1640625" style="3" customWidth="1"/>
    <col min="9" max="16384" width="10.83203125" style="3"/>
  </cols>
  <sheetData>
    <row r="1" spans="1:8" ht="5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7" x14ac:dyDescent="0.2">
      <c r="A2" s="4">
        <v>33226590</v>
      </c>
      <c r="B2" s="4" t="s">
        <v>8</v>
      </c>
      <c r="C2" s="4" t="s">
        <v>9</v>
      </c>
      <c r="D2" s="4">
        <v>21</v>
      </c>
      <c r="E2" s="4">
        <v>14</v>
      </c>
      <c r="F2" s="4">
        <f>E2/D2</f>
        <v>0.66666666666666663</v>
      </c>
      <c r="G2" s="4" t="s">
        <v>10</v>
      </c>
      <c r="H2" s="4" t="s">
        <v>18</v>
      </c>
    </row>
    <row r="3" spans="1:8" ht="17" x14ac:dyDescent="0.2">
      <c r="A3" s="4">
        <v>33226590</v>
      </c>
      <c r="B3" s="4" t="s">
        <v>8</v>
      </c>
      <c r="C3" s="4" t="s">
        <v>11</v>
      </c>
      <c r="D3" s="4">
        <v>32</v>
      </c>
      <c r="E3" s="4">
        <v>22</v>
      </c>
      <c r="F3" s="4">
        <f>E3/D3</f>
        <v>0.6875</v>
      </c>
      <c r="G3" s="4" t="s">
        <v>12</v>
      </c>
      <c r="H3" s="4" t="s">
        <v>19</v>
      </c>
    </row>
    <row r="4" spans="1:8" ht="34" x14ac:dyDescent="0.2">
      <c r="A4" s="4">
        <v>33226590</v>
      </c>
      <c r="B4" s="4" t="s">
        <v>8</v>
      </c>
      <c r="C4" s="4" t="s">
        <v>13</v>
      </c>
      <c r="D4" s="4">
        <v>13</v>
      </c>
      <c r="E4" s="4">
        <v>5</v>
      </c>
      <c r="F4" s="4">
        <f t="shared" ref="F4:F34" si="0">E4/D4</f>
        <v>0.38461538461538464</v>
      </c>
      <c r="G4" s="4" t="s">
        <v>67</v>
      </c>
      <c r="H4" s="4" t="s">
        <v>68</v>
      </c>
    </row>
    <row r="5" spans="1:8" ht="17" x14ac:dyDescent="0.2">
      <c r="A5" s="4">
        <v>33226590</v>
      </c>
      <c r="B5" s="4" t="s">
        <v>8</v>
      </c>
      <c r="C5" s="4" t="s">
        <v>14</v>
      </c>
      <c r="D5" s="4">
        <v>4</v>
      </c>
      <c r="E5" s="4">
        <v>1</v>
      </c>
      <c r="F5" s="4">
        <f t="shared" si="0"/>
        <v>0.25</v>
      </c>
      <c r="G5" s="4" t="s">
        <v>15</v>
      </c>
      <c r="H5" s="4" t="s">
        <v>20</v>
      </c>
    </row>
    <row r="6" spans="1:8" ht="17" x14ac:dyDescent="0.2">
      <c r="A6" s="4">
        <v>33226590</v>
      </c>
      <c r="B6" s="4" t="s">
        <v>8</v>
      </c>
      <c r="C6" s="4" t="s">
        <v>16</v>
      </c>
      <c r="D6" s="4">
        <v>3</v>
      </c>
      <c r="E6" s="4">
        <v>2</v>
      </c>
      <c r="F6" s="4">
        <f t="shared" si="0"/>
        <v>0.66666666666666663</v>
      </c>
      <c r="G6" s="4" t="s">
        <v>16</v>
      </c>
      <c r="H6" s="4" t="s">
        <v>49</v>
      </c>
    </row>
    <row r="7" spans="1:8" ht="51" x14ac:dyDescent="0.2">
      <c r="A7" s="4">
        <v>33226590</v>
      </c>
      <c r="B7" s="4" t="s">
        <v>8</v>
      </c>
      <c r="C7" s="4" t="s">
        <v>66</v>
      </c>
      <c r="D7" s="4">
        <v>65</v>
      </c>
      <c r="E7" s="4">
        <v>34</v>
      </c>
      <c r="F7" s="4">
        <f t="shared" si="0"/>
        <v>0.52307692307692311</v>
      </c>
      <c r="G7" s="4" t="s">
        <v>17</v>
      </c>
      <c r="H7" s="4" t="s">
        <v>21</v>
      </c>
    </row>
    <row r="8" spans="1:8" ht="17" x14ac:dyDescent="0.2">
      <c r="A8" s="4">
        <v>37794564</v>
      </c>
      <c r="B8" s="4" t="s">
        <v>22</v>
      </c>
      <c r="C8" s="4" t="s">
        <v>11</v>
      </c>
      <c r="D8" s="4">
        <v>262</v>
      </c>
      <c r="E8" s="4">
        <v>130</v>
      </c>
      <c r="F8" s="4">
        <f t="shared" si="0"/>
        <v>0.49618320610687022</v>
      </c>
      <c r="G8" s="4" t="s">
        <v>23</v>
      </c>
      <c r="H8" s="4" t="s">
        <v>24</v>
      </c>
    </row>
    <row r="9" spans="1:8" ht="34" x14ac:dyDescent="0.2">
      <c r="A9" s="4">
        <v>37794564</v>
      </c>
      <c r="B9" s="4" t="s">
        <v>22</v>
      </c>
      <c r="C9" s="4" t="s">
        <v>9</v>
      </c>
      <c r="D9" s="4">
        <v>281</v>
      </c>
      <c r="E9" s="4">
        <v>55</v>
      </c>
      <c r="F9" s="4">
        <f t="shared" si="0"/>
        <v>0.19572953736654805</v>
      </c>
      <c r="G9" s="4" t="s">
        <v>25</v>
      </c>
      <c r="H9" s="4" t="s">
        <v>26</v>
      </c>
    </row>
    <row r="10" spans="1:8" ht="17" x14ac:dyDescent="0.2">
      <c r="A10" s="4">
        <v>37794564</v>
      </c>
      <c r="B10" s="4" t="s">
        <v>22</v>
      </c>
      <c r="C10" s="4" t="s">
        <v>27</v>
      </c>
      <c r="D10" s="4">
        <v>44</v>
      </c>
      <c r="E10" s="4">
        <v>6</v>
      </c>
      <c r="F10" s="4">
        <f t="shared" si="0"/>
        <v>0.13636363636363635</v>
      </c>
      <c r="G10" s="4" t="s">
        <v>28</v>
      </c>
      <c r="H10" s="4"/>
    </row>
    <row r="11" spans="1:8" ht="34" x14ac:dyDescent="0.2">
      <c r="A11" s="4">
        <v>37794564</v>
      </c>
      <c r="B11" s="4" t="s">
        <v>22</v>
      </c>
      <c r="C11" s="4" t="s">
        <v>13</v>
      </c>
      <c r="D11" s="4">
        <v>101</v>
      </c>
      <c r="E11" s="4">
        <v>16</v>
      </c>
      <c r="F11" s="4">
        <f t="shared" si="0"/>
        <v>0.15841584158415842</v>
      </c>
      <c r="G11" s="4" t="s">
        <v>69</v>
      </c>
      <c r="H11" s="4"/>
    </row>
    <row r="12" spans="1:8" ht="17" x14ac:dyDescent="0.2">
      <c r="A12" s="4">
        <v>37794564</v>
      </c>
      <c r="B12" s="4" t="s">
        <v>22</v>
      </c>
      <c r="C12" s="4" t="s">
        <v>14</v>
      </c>
      <c r="D12" s="4">
        <v>4</v>
      </c>
      <c r="E12" s="4">
        <v>0</v>
      </c>
      <c r="F12" s="4">
        <f t="shared" si="0"/>
        <v>0</v>
      </c>
      <c r="G12" s="4" t="s">
        <v>29</v>
      </c>
      <c r="H12" s="4" t="s">
        <v>30</v>
      </c>
    </row>
    <row r="13" spans="1:8" ht="85" x14ac:dyDescent="0.2">
      <c r="A13" s="4">
        <v>37794564</v>
      </c>
      <c r="B13" s="4" t="s">
        <v>22</v>
      </c>
      <c r="C13" s="4" t="s">
        <v>66</v>
      </c>
      <c r="D13" s="4">
        <v>931</v>
      </c>
      <c r="E13" s="4">
        <v>131</v>
      </c>
      <c r="F13" s="4">
        <f t="shared" si="0"/>
        <v>0.14070891514500536</v>
      </c>
      <c r="G13" s="4" t="s">
        <v>31</v>
      </c>
      <c r="H13" s="4" t="s">
        <v>32</v>
      </c>
    </row>
    <row r="14" spans="1:8" x14ac:dyDescent="0.2">
      <c r="A14" s="1">
        <v>32939031</v>
      </c>
      <c r="B14" s="1" t="s">
        <v>33</v>
      </c>
      <c r="C14" s="1" t="s">
        <v>11</v>
      </c>
      <c r="D14" s="1">
        <v>65</v>
      </c>
      <c r="E14" s="1">
        <v>31</v>
      </c>
      <c r="F14" s="4">
        <f t="shared" si="0"/>
        <v>0.47692307692307695</v>
      </c>
      <c r="G14" s="1" t="s">
        <v>34</v>
      </c>
      <c r="H14" s="1" t="s">
        <v>35</v>
      </c>
    </row>
    <row r="15" spans="1:8" x14ac:dyDescent="0.2">
      <c r="A15" s="1">
        <v>32939031</v>
      </c>
      <c r="B15" s="1" t="s">
        <v>33</v>
      </c>
      <c r="C15" s="1" t="s">
        <v>9</v>
      </c>
      <c r="D15" s="1">
        <v>82</v>
      </c>
      <c r="E15" s="1">
        <v>31</v>
      </c>
      <c r="F15" s="4">
        <f t="shared" si="0"/>
        <v>0.37804878048780488</v>
      </c>
      <c r="G15" s="1" t="s">
        <v>36</v>
      </c>
      <c r="H15" s="1" t="s">
        <v>37</v>
      </c>
    </row>
    <row r="16" spans="1:8" x14ac:dyDescent="0.2">
      <c r="A16" s="1">
        <v>32939031</v>
      </c>
      <c r="B16" s="1" t="s">
        <v>33</v>
      </c>
      <c r="C16" s="1" t="s">
        <v>13</v>
      </c>
      <c r="D16" s="1">
        <v>18</v>
      </c>
      <c r="E16" s="1">
        <v>11</v>
      </c>
      <c r="F16" s="4">
        <f t="shared" si="0"/>
        <v>0.61111111111111116</v>
      </c>
      <c r="G16" s="1" t="s">
        <v>38</v>
      </c>
      <c r="H16" s="1" t="s">
        <v>39</v>
      </c>
    </row>
    <row r="17" spans="1:8" x14ac:dyDescent="0.2">
      <c r="A17" s="1">
        <v>32939031</v>
      </c>
      <c r="B17" s="1" t="s">
        <v>33</v>
      </c>
      <c r="C17" s="1" t="s">
        <v>16</v>
      </c>
      <c r="D17" s="1">
        <v>14</v>
      </c>
      <c r="E17" s="1">
        <v>3</v>
      </c>
      <c r="F17" s="4">
        <f t="shared" si="0"/>
        <v>0.21428571428571427</v>
      </c>
      <c r="G17" s="1" t="s">
        <v>40</v>
      </c>
      <c r="H17" s="1"/>
    </row>
    <row r="18" spans="1:8" x14ac:dyDescent="0.2">
      <c r="A18" s="1">
        <v>32939031</v>
      </c>
      <c r="B18" s="1" t="s">
        <v>33</v>
      </c>
      <c r="C18" s="1" t="s">
        <v>14</v>
      </c>
      <c r="D18" s="1">
        <v>6</v>
      </c>
      <c r="E18" s="1">
        <v>0</v>
      </c>
      <c r="F18" s="4">
        <f t="shared" si="0"/>
        <v>0</v>
      </c>
      <c r="G18" s="1" t="s">
        <v>41</v>
      </c>
      <c r="H18" s="1"/>
    </row>
    <row r="19" spans="1:8" x14ac:dyDescent="0.2">
      <c r="A19" s="1">
        <v>38972501</v>
      </c>
      <c r="B19" s="1" t="s">
        <v>42</v>
      </c>
      <c r="C19" s="1" t="s">
        <v>66</v>
      </c>
      <c r="D19" s="1">
        <v>266</v>
      </c>
      <c r="E19" s="1">
        <v>63</v>
      </c>
      <c r="F19" s="4">
        <f t="shared" si="0"/>
        <v>0.23684210526315788</v>
      </c>
      <c r="G19" s="1" t="s">
        <v>43</v>
      </c>
      <c r="H19" s="1" t="s">
        <v>44</v>
      </c>
    </row>
    <row r="20" spans="1:8" x14ac:dyDescent="0.2">
      <c r="A20" s="1">
        <v>38972501</v>
      </c>
      <c r="B20" s="1" t="s">
        <v>42</v>
      </c>
      <c r="C20" s="1" t="s">
        <v>9</v>
      </c>
      <c r="D20" s="1">
        <v>365</v>
      </c>
      <c r="E20" s="1">
        <v>87</v>
      </c>
      <c r="F20" s="4">
        <f t="shared" si="0"/>
        <v>0.23835616438356164</v>
      </c>
      <c r="G20" s="1" t="s">
        <v>10</v>
      </c>
      <c r="H20" s="1" t="s">
        <v>45</v>
      </c>
    </row>
    <row r="21" spans="1:8" x14ac:dyDescent="0.2">
      <c r="A21" s="1">
        <v>38972501</v>
      </c>
      <c r="B21" s="1" t="s">
        <v>42</v>
      </c>
      <c r="C21" s="1" t="s">
        <v>27</v>
      </c>
      <c r="D21" s="1">
        <v>104</v>
      </c>
      <c r="E21" s="1">
        <v>29</v>
      </c>
      <c r="F21" s="4">
        <f t="shared" si="0"/>
        <v>0.27884615384615385</v>
      </c>
      <c r="G21" s="1" t="s">
        <v>46</v>
      </c>
      <c r="H21" s="1"/>
    </row>
    <row r="22" spans="1:8" x14ac:dyDescent="0.2">
      <c r="A22" s="1">
        <v>38972501</v>
      </c>
      <c r="B22" s="1" t="s">
        <v>42</v>
      </c>
      <c r="C22" s="1" t="s">
        <v>11</v>
      </c>
      <c r="D22" s="1">
        <v>13</v>
      </c>
      <c r="E22" s="1">
        <v>11</v>
      </c>
      <c r="F22" s="4">
        <f t="shared" si="0"/>
        <v>0.84615384615384615</v>
      </c>
      <c r="G22" s="1" t="s">
        <v>47</v>
      </c>
      <c r="H22" s="1" t="s">
        <v>48</v>
      </c>
    </row>
    <row r="23" spans="1:8" x14ac:dyDescent="0.2">
      <c r="A23" s="1">
        <v>38972501</v>
      </c>
      <c r="B23" s="1" t="s">
        <v>42</v>
      </c>
      <c r="C23" s="1" t="s">
        <v>16</v>
      </c>
      <c r="D23" s="1">
        <v>70</v>
      </c>
      <c r="E23" s="1">
        <v>14</v>
      </c>
      <c r="F23" s="4">
        <f t="shared" si="0"/>
        <v>0.2</v>
      </c>
      <c r="G23" s="1" t="s">
        <v>16</v>
      </c>
      <c r="H23" s="1"/>
    </row>
    <row r="24" spans="1:8" x14ac:dyDescent="0.2">
      <c r="A24" s="1">
        <v>35099770</v>
      </c>
      <c r="B24" s="1" t="s">
        <v>50</v>
      </c>
      <c r="C24" s="1" t="s">
        <v>11</v>
      </c>
      <c r="D24" s="1">
        <v>188</v>
      </c>
      <c r="E24" s="1">
        <v>148</v>
      </c>
      <c r="F24" s="4">
        <f t="shared" si="0"/>
        <v>0.78723404255319152</v>
      </c>
      <c r="G24" s="1" t="s">
        <v>51</v>
      </c>
      <c r="H24" s="1" t="s">
        <v>52</v>
      </c>
    </row>
    <row r="25" spans="1:8" x14ac:dyDescent="0.2">
      <c r="A25" s="1">
        <v>35099770</v>
      </c>
      <c r="B25" s="1" t="s">
        <v>50</v>
      </c>
      <c r="C25" s="1" t="s">
        <v>9</v>
      </c>
      <c r="D25" s="1">
        <v>126</v>
      </c>
      <c r="E25" s="1">
        <v>31</v>
      </c>
      <c r="F25" s="4">
        <f t="shared" si="0"/>
        <v>0.24603174603174602</v>
      </c>
      <c r="G25" s="1" t="s">
        <v>53</v>
      </c>
      <c r="H25" s="1" t="s">
        <v>54</v>
      </c>
    </row>
    <row r="26" spans="1:8" x14ac:dyDescent="0.2">
      <c r="A26" s="1">
        <v>35099770</v>
      </c>
      <c r="B26" s="1" t="s">
        <v>50</v>
      </c>
      <c r="C26" s="1" t="s">
        <v>27</v>
      </c>
      <c r="D26" s="1">
        <v>39</v>
      </c>
      <c r="E26" s="1">
        <v>18</v>
      </c>
      <c r="F26" s="4">
        <f t="shared" si="0"/>
        <v>0.46153846153846156</v>
      </c>
      <c r="G26" s="1" t="s">
        <v>55</v>
      </c>
      <c r="H26" s="1" t="s">
        <v>56</v>
      </c>
    </row>
    <row r="27" spans="1:8" x14ac:dyDescent="0.2">
      <c r="A27" s="1">
        <v>35099770</v>
      </c>
      <c r="B27" s="1" t="s">
        <v>50</v>
      </c>
      <c r="C27" s="1" t="s">
        <v>16</v>
      </c>
      <c r="D27" s="1">
        <v>73</v>
      </c>
      <c r="E27" s="1">
        <v>7</v>
      </c>
      <c r="F27" s="4">
        <f t="shared" si="0"/>
        <v>9.5890410958904104E-2</v>
      </c>
      <c r="G27" s="1" t="s">
        <v>16</v>
      </c>
      <c r="H27" s="1" t="s">
        <v>57</v>
      </c>
    </row>
    <row r="28" spans="1:8" x14ac:dyDescent="0.2">
      <c r="A28" s="1">
        <v>35099770</v>
      </c>
      <c r="B28" s="1" t="s">
        <v>50</v>
      </c>
      <c r="C28" s="1" t="s">
        <v>66</v>
      </c>
      <c r="D28" s="1">
        <v>71</v>
      </c>
      <c r="E28" s="1">
        <v>25</v>
      </c>
      <c r="F28" s="4">
        <f t="shared" si="0"/>
        <v>0.352112676056338</v>
      </c>
      <c r="G28" s="1" t="s">
        <v>58</v>
      </c>
      <c r="H28" s="1" t="s">
        <v>59</v>
      </c>
    </row>
    <row r="29" spans="1:8" x14ac:dyDescent="0.2">
      <c r="A29" s="1">
        <v>35099770</v>
      </c>
      <c r="B29" s="1" t="s">
        <v>50</v>
      </c>
      <c r="C29" s="1" t="s">
        <v>13</v>
      </c>
      <c r="D29" s="1">
        <v>4</v>
      </c>
      <c r="E29" s="1">
        <v>4</v>
      </c>
      <c r="F29" s="4">
        <f t="shared" si="0"/>
        <v>1</v>
      </c>
      <c r="G29" s="1" t="s">
        <v>60</v>
      </c>
      <c r="H29" s="1" t="s">
        <v>61</v>
      </c>
    </row>
    <row r="30" spans="1:8" x14ac:dyDescent="0.2">
      <c r="A30" s="1">
        <v>40533884</v>
      </c>
      <c r="B30" s="1" t="s">
        <v>62</v>
      </c>
      <c r="C30" s="1" t="s">
        <v>11</v>
      </c>
      <c r="D30" s="1">
        <v>371</v>
      </c>
      <c r="E30" s="1">
        <v>183</v>
      </c>
      <c r="F30" s="4">
        <f t="shared" si="0"/>
        <v>0.49326145552560646</v>
      </c>
      <c r="G30" s="1" t="s">
        <v>47</v>
      </c>
      <c r="H30" s="1"/>
    </row>
    <row r="31" spans="1:8" x14ac:dyDescent="0.2">
      <c r="A31" s="1">
        <v>40533884</v>
      </c>
      <c r="B31" s="1" t="s">
        <v>62</v>
      </c>
      <c r="C31" s="1" t="s">
        <v>9</v>
      </c>
      <c r="D31" s="1">
        <v>184</v>
      </c>
      <c r="E31" s="1">
        <v>52</v>
      </c>
      <c r="F31" s="4">
        <f t="shared" si="0"/>
        <v>0.28260869565217389</v>
      </c>
      <c r="G31" s="1" t="s">
        <v>64</v>
      </c>
      <c r="H31" s="1"/>
    </row>
    <row r="32" spans="1:8" x14ac:dyDescent="0.2">
      <c r="A32" s="1">
        <v>40533884</v>
      </c>
      <c r="B32" s="1" t="s">
        <v>62</v>
      </c>
      <c r="C32" s="1" t="s">
        <v>16</v>
      </c>
      <c r="D32" s="1">
        <v>45</v>
      </c>
      <c r="E32" s="1">
        <v>6</v>
      </c>
      <c r="F32" s="4">
        <f t="shared" si="0"/>
        <v>0.13333333333333333</v>
      </c>
      <c r="G32" s="1" t="s">
        <v>16</v>
      </c>
      <c r="H32" s="1"/>
    </row>
    <row r="33" spans="1:8" x14ac:dyDescent="0.2">
      <c r="A33" s="1">
        <v>40533884</v>
      </c>
      <c r="B33" s="1" t="s">
        <v>62</v>
      </c>
      <c r="C33" s="1" t="s">
        <v>13</v>
      </c>
      <c r="D33" s="1">
        <v>58</v>
      </c>
      <c r="E33" s="1">
        <v>11</v>
      </c>
      <c r="F33" s="4">
        <f t="shared" si="0"/>
        <v>0.18965517241379309</v>
      </c>
      <c r="G33" s="1" t="s">
        <v>70</v>
      </c>
      <c r="H33" s="1"/>
    </row>
    <row r="34" spans="1:8" x14ac:dyDescent="0.2">
      <c r="A34" s="1">
        <v>40533884</v>
      </c>
      <c r="B34" s="1" t="s">
        <v>62</v>
      </c>
      <c r="C34" s="1" t="s">
        <v>66</v>
      </c>
      <c r="D34" s="1">
        <v>34</v>
      </c>
      <c r="E34" s="1">
        <v>0</v>
      </c>
      <c r="F34" s="4">
        <f t="shared" si="0"/>
        <v>0</v>
      </c>
      <c r="G34" s="1" t="s">
        <v>65</v>
      </c>
      <c r="H34" s="1" t="s">
        <v>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F9BD4C136BCB48BFFAEB204B48DBA3" ma:contentTypeVersion="14" ma:contentTypeDescription="Create a new document." ma:contentTypeScope="" ma:versionID="81104982f69df3422b2ca7147b1d7166">
  <xsd:schema xmlns:xsd="http://www.w3.org/2001/XMLSchema" xmlns:xs="http://www.w3.org/2001/XMLSchema" xmlns:p="http://schemas.microsoft.com/office/2006/metadata/properties" xmlns:ns2="cca24d7f-b98d-43a3-b659-e3037fc904a8" xmlns:ns3="f38dbe94-7885-4da3-8834-2d39cad2d886" targetNamespace="http://schemas.microsoft.com/office/2006/metadata/properties" ma:root="true" ma:fieldsID="8d038e88f27c07df9ba953a0dee2d397" ns2:_="" ns3:_="">
    <xsd:import namespace="cca24d7f-b98d-43a3-b659-e3037fc904a8"/>
    <xsd:import namespace="f38dbe94-7885-4da3-8834-2d39cad2d8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a24d7f-b98d-43a3-b659-e3037fc904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baaf764-73f0-4b4c-b8e1-b7d465e080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8dbe94-7885-4da3-8834-2d39cad2d88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ec5fecde-ef99-4a74-9176-78086f967960}" ma:internalName="TaxCatchAll" ma:showField="CatchAllData" ma:web="f38dbe94-7885-4da3-8834-2d39cad2d8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38dbe94-7885-4da3-8834-2d39cad2d886" xsi:nil="true"/>
    <lcf76f155ced4ddcb4097134ff3c332f xmlns="cca24d7f-b98d-43a3-b659-e3037fc904a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052D69B-C5B6-4A03-B1D6-79865AD094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a24d7f-b98d-43a3-b659-e3037fc904a8"/>
    <ds:schemaRef ds:uri="f38dbe94-7885-4da3-8834-2d39cad2d8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D1C173-4787-46AE-9915-1B249125D4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AAA2C4-CB4F-4BF8-B45A-E09656896392}">
  <ds:schemaRefs>
    <ds:schemaRef ds:uri="http://purl.org/dc/dcmitype/"/>
    <ds:schemaRef ds:uri="http://purl.org/dc/elements/1.1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f38dbe94-7885-4da3-8834-2d39cad2d886"/>
    <ds:schemaRef ds:uri="cca24d7f-b98d-43a3-b659-e3037fc904a8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Sentell</dc:creator>
  <cp:lastModifiedBy>Zachary Sentell</cp:lastModifiedBy>
  <dcterms:created xsi:type="dcterms:W3CDTF">2025-12-08T17:19:25Z</dcterms:created>
  <dcterms:modified xsi:type="dcterms:W3CDTF">2025-12-22T16:45:14Z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0x0101001DF9BD4C136BCB48BFFAEB204B48DBA3</vt:lpwstr>
  </property>
  <property fmtid="{D5CDD505-2E9C-101B-9397-08002B2CF9AE}" pid="3" name="MediaServiceImageTags">
    <vt:lpwstr/>
  </property>
</Properties>
</file>